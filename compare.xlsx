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mc:AlternateContent xmlns:mc="http://schemas.openxmlformats.org/markup-compatibility/2006">
    <mc:Choice Requires="x15">
      <x15ac:absPath xmlns:x15ac="http://schemas.microsoft.com/office/spreadsheetml/2010/11/ac" url="https://fortive-my.sharepoint.com/personal/patrick_lee_fortive_com/Documents/FBSO/AI/"/>
    </mc:Choice>
  </mc:AlternateContent>
  <xr:revisionPtr revIDLastSave="0" documentId="8_{EDE12EEC-30AF-439C-A251-D2515BAE5483}" xr6:coauthVersionLast="47" xr6:coauthVersionMax="47" xr10:uidLastSave="{00000000-0000-0000-0000-000000000000}"/>
  <bookViews>
    <workbookView xWindow="86280" yWindow="3150" windowWidth="29040" windowHeight="15720" firstSheet="4" activeTab="4" xr2:uid="{00000000-000D-0000-FFFF-FFFF00000000}"/>
  </bookViews>
  <sheets>
    <sheet name="Dynamic Dashboard" sheetId="8" r:id="rId1"/>
    <sheet name="Charts Dashboard" sheetId="7" state="hidden" r:id="rId2"/>
    <sheet name="PSP Mentor Prompts" sheetId="2" r:id="rId3"/>
    <sheet name="VSM Mentor Prompts" sheetId="3" r:id="rId4"/>
    <sheet name="TPI Mentor Prompts" sheetId="4" r:id="rId5"/>
    <sheet name="G&amp;I Mentor Prompts"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8" l="1"/>
  <c r="B10" i="8"/>
  <c r="C9" i="8"/>
  <c r="B9" i="8"/>
  <c r="C8" i="8"/>
  <c r="B8" i="8"/>
  <c r="B3" i="8"/>
  <c r="D9" i="8" l="1"/>
  <c r="E9" i="8" s="1"/>
  <c r="C11" i="8"/>
  <c r="B20" i="8" s="1"/>
  <c r="D8" i="8"/>
  <c r="E8" i="8" s="1"/>
  <c r="B23" i="8"/>
  <c r="D10" i="8"/>
  <c r="E10" i="8" s="1"/>
  <c r="B11" i="8"/>
  <c r="B22" i="8" l="1"/>
  <c r="B19" i="8"/>
  <c r="B17" i="8"/>
  <c r="B15" i="8"/>
  <c r="D11" i="8"/>
  <c r="B21" i="8" s="1"/>
</calcChain>
</file>

<file path=xl/sharedStrings.xml><?xml version="1.0" encoding="utf-8"?>
<sst xmlns="http://schemas.openxmlformats.org/spreadsheetml/2006/main" count="525" uniqueCount="344">
  <si>
    <t>DYNAMIC CORE MENTORS DASHBOARD</t>
  </si>
  <si>
    <t>Auto-Updates When Source Data Changes | VSM | PSP | TPI</t>
  </si>
  <si>
    <t>Last Updated:</t>
  </si>
  <si>
    <t>📊 CORE MENTORS DATA (AUTO-UPDATING)</t>
  </si>
  <si>
    <t>Mentor Type</t>
  </si>
  <si>
    <t>Prompt Count</t>
  </si>
  <si>
    <t>Response Count</t>
  </si>
  <si>
    <t>Coverage %</t>
  </si>
  <si>
    <t>Status</t>
  </si>
  <si>
    <t>PSP</t>
  </si>
  <si>
    <t>VSM</t>
  </si>
  <si>
    <t>TPI</t>
  </si>
  <si>
    <t>TOTAL</t>
  </si>
  <si>
    <t>Combined</t>
  </si>
  <si>
    <t>Mentor</t>
  </si>
  <si>
    <t>Percentage</t>
  </si>
  <si>
    <t>📋 LIVE METRICS SUMMARY</t>
  </si>
  <si>
    <t>Total Core Mentors:</t>
  </si>
  <si>
    <t>3</t>
  </si>
  <si>
    <t>Total Prompts:</t>
  </si>
  <si>
    <t>Total Responses:</t>
  </si>
  <si>
    <t>Overall Coverage:</t>
  </si>
  <si>
    <t>Average per Mentor:</t>
  </si>
  <si>
    <t>Top Performer:</t>
  </si>
  <si>
    <t>💡 HOW IT WORKS:</t>
  </si>
  <si>
    <t>✅ This dashboard updates AUTOMATICALLY when you change data in mentor sheets</t>
  </si>
  <si>
    <t>✅ Add/remove prompts in PSP/VSM/TPI sheets - dashboard reflects changes instantly</t>
  </si>
  <si>
    <t>✅ Charts and metrics recalculate automatically - no Python script needed</t>
  </si>
  <si>
    <t>✅ Coverage percentages update as you add responses</t>
  </si>
  <si>
    <t>✅ Top performer automatically changes based on current data</t>
  </si>
  <si>
    <t>CORE MENTORS ANALYTICS DASHBOARD</t>
  </si>
  <si>
    <t>VSM | PSP | TPI Mentors Only | Generated: 2025-09-02 12:14:39</t>
  </si>
  <si>
    <t>📊 SECTION 1: CORE MENTORS OVERVIEW</t>
  </si>
  <si>
    <t>45.8%</t>
  </si>
  <si>
    <t>32.3%</t>
  </si>
  <si>
    <t>21.9%</t>
  </si>
  <si>
    <t>100.0%</t>
  </si>
  <si>
    <t>📈 SECTION 2: RESPONSE COVERAGE - CORE MENTORS</t>
  </si>
  <si>
    <t>Total Prompts</t>
  </si>
  <si>
    <t>Responses</t>
  </si>
  <si>
    <t>Excellent</t>
  </si>
  <si>
    <t>🎯 SECTION 3: PERFORMANCE COMPARISON - CORE MENTORS</t>
  </si>
  <si>
    <t>Prompts</t>
  </si>
  <si>
    <t>Performance Score</t>
  </si>
  <si>
    <t>Rank</t>
  </si>
  <si>
    <t>100.0</t>
  </si>
  <si>
    <t>🥇 1</t>
  </si>
  <si>
    <t>82.3</t>
  </si>
  <si>
    <t>🥈 2</t>
  </si>
  <si>
    <t>68.6</t>
  </si>
  <si>
    <t>🥉 3</t>
  </si>
  <si>
    <t>📋 CORE MENTORS EXECUTIVE SUMMARY</t>
  </si>
  <si>
    <t>Core Mentors Analyzed:</t>
  </si>
  <si>
    <t>PSP, VSM, TPI</t>
  </si>
  <si>
    <t>Total Prompts (Core):</t>
  </si>
  <si>
    <t>96</t>
  </si>
  <si>
    <t>32.0</t>
  </si>
  <si>
    <t>Average Coverage:</t>
  </si>
  <si>
    <t>PSP (44 prompts)</t>
  </si>
  <si>
    <t>Analysis Date:</t>
  </si>
  <si>
    <t>2025-09-02 12:14</t>
  </si>
  <si>
    <t>Data Quality:</t>
  </si>
  <si>
    <t>High - Core mentors only</t>
  </si>
  <si>
    <t>Filtered Out:</t>
  </si>
  <si>
    <t>New_Prompts, G&amp;I (inactive)</t>
  </si>
  <si>
    <t>SL</t>
  </si>
  <si>
    <t>Response</t>
  </si>
  <si>
    <t>Sources</t>
  </si>
  <si>
    <t>Tester Remarks</t>
  </si>
  <si>
    <t>Developer Remarks</t>
  </si>
  <si>
    <t>Date</t>
  </si>
  <si>
    <t>Upload my PSR and critique it</t>
  </si>
  <si>
    <t>To effectively critique your Problem Solving Report (PSR), we need to consider several key aspects based on the Fortive Business System (FBS) and the Problem Solving Process (PSP). Here’s a structured approach to evaluating your PSR:
### Key Components of a Problem Solving Report (PSR)
1. **Clarity of Problem Statement**:
   - Ensure that the problem statement is clearly defined. It should articulate the gap between the current state and the desired state. For example, if the issue is related to production downtime, specify the current downtime percentage and the target percentage.
2. **Artifacts and Insights**:
   - The PSR should include various artifacts that capture insights and learnings from the DIVE process. This could include data analysis, brainstorming results, and any relevant metrics. For instance, if you conducted a root cause analysis, summarize the findings and how they inform your next steps.
3. **Actions Taken**:
   - Document the actions that have been implemented to address the problem. This should include both immediate actions and long-term strategies. For example, if a quality defect was identified, detail the corrective actions taken and any preventive measures planned.
4. **Progress Tracking**:
   - Include metrics that track progress towards resolving the problem. This could be in the form of KPIs (Key Performance Indicators) relevant to your issue. For example, if you are addressing customer churn, include metrics like retention rates before and after implementing changes.
5. **Next Steps and Follow-Up**:
   - Clearly outline the next steps in the problem-solving process. This should include who is responsible for each action and the timeline for completion. For instance, if further analysis is needed, specify who will conduct it and by when.
### Example Critique Framework
- **Problem Statement**: Is it specific and measurable? Does it clearly define the gap?
- **Data and Artifacts**: Are the insights well-documented? Do they support the problem statement?
- **Actions**: Are the actions taken logical and relevant? Are they documented with timelines?
- **Metrics**: Are the metrics used to track progress appropriate and clearly presented?
- **Next Steps**: Are the next steps actionable and assigned to specific team members?
### Conclusion
By ensuring that your PSR addresses these components, you can enhance its effectiveness as a communication tool within the PSP framework. This will not only help in closing the gap between the current and desired states but also facilitate better collaboration and understanding among team members.
If you would like to share specific sections of your PSR for a more detailed critique, please upload it, and I can provide targeted feedback based on the criteria outlined above. Would you like to proceed with that?</t>
  </si>
  <si>
    <t>https://fortive.sharepoint.com/:p:/r/sites/FTV-TheFort/_layouts/15/Doc.aspx?sourcedoc=%7B78185926-2BBA-4280-8D70-52802D36723D%7D&amp;file=PSP%20tied%20to%20elearning.pptx&amp;action=edit&amp;mobileredirect=true</t>
  </si>
  <si>
    <t>Bad</t>
  </si>
  <si>
    <r>
      <rPr>
        <b/>
        <u/>
        <sz val="10"/>
        <color theme="1"/>
        <rFont val="Century Gothic"/>
        <family val="2"/>
      </rPr>
      <t>P.Lee:</t>
    </r>
    <r>
      <rPr>
        <sz val="10"/>
        <color theme="1"/>
        <rFont val="Century Gothic"/>
        <family val="2"/>
      </rPr>
      <t xml:space="preserve"> 
 This is a prompt and the quality of the answer is dependent on the PSR loaded and if it is answering it correctly to actutally critique it.  
The prompt and the answer does not align.  The prompt seems to ask to upload and  reads the PSR.   This should be the last one we test because this is dependent on the different scenarios and different version of PSR that gets upload be critiqued.   I dont know how well the AI does it's critiquing ability yet.</t>
    </r>
  </si>
  <si>
    <t>Generate 7 ways to come up with a Pareto</t>
  </si>
  <si>
    <t>Creating a Pareto Chart is an effective way to visualize and prioritize problems based on the 80/20 rule, which helps teams focus on the most significant issues impacting their processes. Here are seven ways to develop a Pareto Chart, incorporating the principles from the Fortive Business System (FBS):
### 1. **Identify the Problem Area**
   - **Action**: Begin by clearly defining the problem you want to analyze. This could be related to quality defects, customer complaints, or production delays.
   - **Example**: If you are experiencing high customer churn, specify that as your problem area.
### 2. **Collect Data**
   - **Action**: Gather relevant data that reflects the frequency or impact of the issues within the defined problem area. This data can come from various sources such as customer feedback, production logs, or quality reports.
   - **Example**: For customer churn, collect data on the reasons customers cite for leaving, such as service issues, pricing, or product quality.
### 3. **Categorize the Data**
   - **Action**: Organize the collected data into categories that represent the different types of issues or causes. This helps in identifying patterns.
   - **Example**: Categorize reasons for churn into groups like "Service Quality," "Pricing," "Product Features," etc.
### 4. **Count the Frequency of Each Category**
   - **Action**: Tally the occurrences of each category to determine which issues are most prevalent. This step is crucial for creating the visual representation of the Pareto Chart.
   - **Example**: If "Service Quality" accounts for 50 complaints, "Pricing" for 30, and "Product Features" for 20, these counts will form the basis of your chart.
### 5. **Calculate Cumulative Percentages**
   - **Action**: Calculate the cumulative percentage of each category to visualize the impact of each issue relative to the total. This helps in identifying the most significant contributors.
   - **Example**: If the total number of complaints is 100, "Service Quality" would represent 50%, "Pricing" 30%, and "Product Features" 20%. The cumulative percentages would help illustrate how these categories contribute to the overall problem.
### 6. **Create the Pareto Chart**
   - **Action**: Using the frequency and cumulative percentage data, create the Pareto Chart. The left axis typically represents the frequency of issues, while the right axis represents the cumulative percentage.
   - **Example**: Plot the categories on the x-axis and their corresponding frequencies on the y-axis, adding a line graph for cumulative percentages.
### 7. **Analyze and Prioritize Actions**
   - **Action**: Review the completed Pareto Chart to identify the "vital few" issues that contribute to the majority of the problems. Focus your problem-solving efforts on these areas for maximum impact.
   - **Example**: If "Service Quality" is identified as the most significant issue, prioritize actions to improve service processes, training, or customer support.
### Conclusion
By following these steps, you can effectively create a Pareto Chart that highlights the most critical issues within your problem area. This visual tool not only aids in understanding where to focus efforts but also aligns with the FBS principles of delivering extraordinary results and closing the gap between current and desired states.
If you need further assistance in creating a specific Pareto Chart or analyzing your data, feel free to ask! Would you like to explore any of these steps in more detail?</t>
  </si>
  <si>
    <r>
      <rPr>
        <b/>
        <u/>
        <sz val="10"/>
        <color theme="1"/>
        <rFont val="Century Gothic"/>
        <family val="2"/>
      </rPr>
      <t>P.Lee:</t>
    </r>
    <r>
      <rPr>
        <sz val="10"/>
        <color theme="1"/>
        <rFont val="Century Gothic"/>
        <family val="2"/>
      </rPr>
      <t xml:space="preserve">
The prompt and and answer is not related. 
The prompt assumption is I am uploading a dataset to go with it.  Then the ask is to generate different ways to slice the data. 
The answer is more of an answer on different steps to consider when trying to create a Pareto.</t>
    </r>
  </si>
  <si>
    <t xml:space="preserve">Please generate 20 questions that I should ask that will help me dig deeper and gain insights on my problem </t>
  </si>
  <si>
    <t>To effectively dig deeper into a problem and gain valuable insights, it's essential to ask targeted questions that align with the Problem Solving Process (PSP) as outlined in the Fortive Business System (FBS). Here are 20 questions categorized into different areas that can help you explore the problem comprehensively:
### Understanding the Problem
1. **What is the specific problem we are facing?**
   - Clarifies the issue at hand.
2. **What are the symptoms of this problem?**
   - Helps identify observable effects.
3. **What is the gap between the current state (Actual) and the desired state (Standard)?**
   - Establishes a clear understanding of the discrepancy.
4. **When did this problem first occur?**
   - Provides context and timeline for the issue.
5. **How frequently does this problem occur?**
   - Assesses the severity and impact of the problem.
### Analyzing Causes
6. **What are the potential root causes of this problem?**
   - Encourages exploration of underlying issues.
7. **Who is affected by this problem, and how?**
   - Identifies stakeholders and their experiences.
8. **What data do we have that supports our understanding of this problem?**
   - Prompts review of existing evidence.
9. **Are there any patterns or trends associated with this problem?**
   - Looks for recurring themes or correlations.
10. **What assumptions are we making about this problem?**
    - Challenges preconceived notions that may hinder analysis.
### Exploring Solutions
11. **What solutions have we tried in the past, and what were the outcomes?**
    - Evaluates previous efforts and their effectiveness.
12. **What resources do we have available to address this problem?**
    - Assesses capabilities and constraints.
13. **What would success look like if we resolved this problem?**
    - Defines clear objectives for resolution.
14. **Who needs to be involved in the problem-solving process?**
    - Identifies key team members and stakeholders.
15. **What are the potential risks associated with different solutions?**
    - Considers the implications of various approaches.
### Implementing and Sustaining Solutions
16. **How will we measure the success of our solution?**
    - Establishes metrics for evaluation.
17. **What is the timeline for implementing potential solutions?**
    - Sets expectations for progress.
18. **How will we communicate our findings and solutions to the team?**
    - Ensures transparency and collaboration.
19. **What steps will we take to sustain improvements once implemented?**
    - Focuses on long-term success and prevention of recurrence.
20. **How will we gather feedback after implementing the solution?**
    - Plans for ongoing assessment and adjustment.
### Conclusion
These questions are designed to guide you through a thorough exploration of your problem, aligning with the PSP framework to ensure that you identify the root causes and develop effective solutions. By systematically addressing these areas, you can close the gap between your current state and desired outcomes, ultimately delivering extraordinary results.
If you would like to discuss any specific questions further or need assistance in applying these questions to your situation, feel free to ask! Would you like to explore any particular area in more detail?</t>
  </si>
  <si>
    <t>https://fortive.sharepoint.com/:p:/r/sites/FTV-TheFort/_layouts/15/Doc.aspx?sourcedoc=%7B2679DEA0-53E4-46A4-80CC-69F4534B9231%7D&amp;file=fortive-problem-solving-process-%20tied%20to%20elearning.pptx&amp;action=edit&amp;mobileredirect=true</t>
  </si>
  <si>
    <t>Neutral</t>
  </si>
  <si>
    <r>
      <rPr>
        <b/>
        <u/>
        <sz val="10"/>
        <color theme="1"/>
        <rFont val="Century Gothic"/>
        <family val="2"/>
      </rPr>
      <t>P.Lee</t>
    </r>
    <r>
      <rPr>
        <sz val="10"/>
        <color theme="1"/>
        <rFont val="Century Gothic"/>
        <family val="2"/>
      </rPr>
      <t>:
The prompt is asking questions about how to generate more insights on the problem statement.  
The insights provided on the "Understanding the Problem" + "possibly the causes" are OK but the comments after that does not relate to the question.    Solutions and sustainment of them is not what the prompt is asking for.
the question is on the D in the DIVE and we are giving answers about "I&amp;V" section.    
REsponses like :  I can provide you with general guidelines and questions to consider,  See below .... then ask if they can share the problem statement we can create a more specific set of questions to consider.</t>
    </r>
  </si>
  <si>
    <t>Can you create a level 1 and level 2 pareto?</t>
  </si>
  <si>
    <t>Creating Level 1 and Level 2 Pareto Charts is an effective way to analyze problems and identify their root causes using the 80/20 rule, as established by Vilfredo Pareto. Below is a structured approach to developing both types of Pareto Charts, incorporating the principles from the Fortive Business System (FBS).
### Level 1 Pareto Chart
**Purpose**: The Level 1 Pareto Chart helps identify where the problems are occurring by categorizing and quantifying the frequency of issues.
#### Steps to Create a Level 1 Pareto Chart:
1. **Identify the Problem Area**:
   - Define the specific problem you want to analyze. For example, if you are experiencing quality defects in a manufacturing process, specify that as your focus.
2. **Collect Data**:
   - Gather data on the frequency of different types of defects or issues. This could come from quality control reports, customer complaints, or production logs.
   - **Example Data**:
     - Defect Type A: 50 occurrences
     - Defect Type B: 30 occurrences
     - Defect Type C: 20 occurrences
     - Defect Type D: 10 occurrences
3. **Categorize the Data**:
   - Organize the data into categories based on the types of defects or issues identified.
4. **Create the Chart**:
   - Plot the categories on the x-axis and the frequency of occurrences on the y-axis. Use bars to represent the frequency of each defect type.
   - Add a cumulative percentage line to show the cumulative impact of the issues.
5. **Analyze the Chart**:
   - Identify the "vital few" issues that contribute to the majority of the problems. For instance, if Defect Type A accounts for 50% of the total defects, it should be prioritized for resolution.
### Level 2 Pareto Chart
**Purpose**: The Level 2 Pareto Chart focuses on understanding why the problems are occurring by analyzing the root causes.
#### Steps to Create a Level 2 Pareto Chart:
1. **Build on Level 1 Findings**:
   - Use the insights gained from the Level 1 Pareto Chart to identify potential root causes for the most significant issues.
2. **Identify the "WHY"**:
   - Each team member should brainstorm and identify at least five different potential causes for the top issues identified in the Level 1 chart.
   - **Example Causes for Defect Type A**:
     - Lack of training for operators
     - Inadequate maintenance of equipment
     - Poor quality of raw materials
     - Inefficient production processes
     - Lack of quality checks
3. **Create an Affinity Diagram**:
   - Organize the identified causes into an affinity diagram to group similar ideas and identify patterns.
4. **Select Top Causes**:
   - As a team, select the top two most insightful causes based on the affinity diagram. These will be the focus for further analysis.
5. **Collect Data for Selected Causes**:
   - Gather data to support the analysis of these root causes. This could include training records, maintenance logs, or supplier quality reports.
6. **Create the Level 2 Pareto Chart**:
   - Plot the selected root causes on the x-axis and their frequency or impact on the y-axis. This chart will help visualize which root causes are most significant.
7. **Analyze and Plan Actions**:
   - Use the Level 2 Pareto Chart to prioritize actions that address the root causes. For example, if "Lack of training for operators" is identified as a major cause, develop a training program to mitigate this issue.
### Conclusion
By following these steps, you can effectively create both Level 1 and Level 2 Pareto Charts that will help you understand where problems are occurring and why they are happening. This structured approach aligns with the Problem Solving Process (PSP) and supports continuous improvement efforts within the Fortive Business System.
If you need further assistance in applying these steps to a specific problem or creating the charts, feel free to ask! Would you like to explore any particular aspect in more detail?</t>
  </si>
  <si>
    <r>
      <rPr>
        <b/>
        <u/>
        <sz val="10"/>
        <color theme="1"/>
        <rFont val="Century Gothic"/>
        <family val="2"/>
      </rPr>
      <t>P.LEE:</t>
    </r>
    <r>
      <rPr>
        <sz val="10"/>
        <color theme="1"/>
        <rFont val="Century Gothic"/>
        <family val="2"/>
      </rPr>
      <t xml:space="preserve">
The prompt is can you create a L1 &amp; L2 Pareto.
Answer should be "YES" and but they need to load the excel data so KATA mentor can do it.
Prompt wasn’t asking what a L1 and L2 is or what the steps are to create one.
Should ask if they would like to know if they want to know the difference between the 2 or the steps to create one.
</t>
    </r>
  </si>
  <si>
    <t>What gemba evidence do I need to support the 5 why I just created?</t>
  </si>
  <si>
    <t>To effectively support the "5 Whys" analysis with Gemba evidence, it’s essential to gather data and observations that directly relate to the identified root causes of the problem. Gemba, which means "the real place" in Japanese, emphasizes going to the location where the work is done to observe processes and gather firsthand information. Here’s how to approach collecting Gemba evidence to support your analysis:
### 1. **Observation of Processes**
   - **Action**: Spend time observing the specific processes related to the problem. Look for inefficiencies, bottlenecks, or deviations from standard operating procedures.
   - **Example**: If the issue is related to production delays, observe the production line to identify where delays occur and what factors contribute to them (e.g., equipment malfunctions, operator errors).
### 2. **Engagement with Employees**
   - **Action**: Talk to employees who are directly involved in the processes. Their insights can provide valuable context and highlight issues that may not be immediately visible.
   - **Example**: Ask operators about their experiences with the equipment or processes. They may reveal that a specific machine frequently breaks down or that they lack the necessary training to perform their tasks efficiently.
### 3. **Review of Performance Metrics**
   - **Action**: Collect and analyze relevant performance metrics that can provide quantitative evidence of the problem.
   - **Example**: Look at key performance indicators (KPIs) such as cycle times, defect rates, or downtime statistics. If you find that defect rates have increased, this data can support your analysis of why quality issues are occurring.
### 4. **Documentation of Standard Procedures**
   - **Action**: Compare current practices with documented standard operating procedures (SOPs) to identify discrepancies.
   - **Example**: If the SOP states that a particular quality check should be performed at a specific stage, but it is not being done, this evidence can help explain why defects are occurring.
### 5. **Analysis of Historical Data**
   - **Action**: Review historical data related to the problem to identify trends or recurring issues.
   - **Example**: If you notice that a particular defect type has been increasing over time, this historical evidence can support your findings in the "5 Whys" analysis.
### 6. **Visual Evidence**
   - **Action**: Take photographs or videos of the processes, equipment, or areas where problems are occurring. Visual evidence can be compelling in illustrating issues.
   - **Example**: If there are safety hazards or cluttered workspaces contributing to inefficiencies, visual documentation can highlight these problems effectively.
### 7. **Feedback from Customers**
   - **Action**: Gather feedback from customers regarding their experiences with the product or service. This can provide insights into external perceptions of the problem.
   - **Example**: If customers report issues with product quality, this feedback can support your analysis of why quality checks may be failing.
### Conclusion
By collecting this Gemba evidence, you will be able to substantiate the findings from your "5 Whys" analysis with concrete data and observations. This approach aligns with the Problem Solving Process (PSP) and helps ensure that your solutions are grounded in reality, ultimately leading to more effective problem resolution.
If you need further assistance in gathering specific types of Gemba evidence or applying these concepts to your situation, feel free to ask! Would you like to explore any particular aspect in more detail?</t>
  </si>
  <si>
    <t>Good</t>
  </si>
  <si>
    <r>
      <rPr>
        <b/>
        <u/>
        <sz val="10"/>
        <color theme="1"/>
        <rFont val="Century Gothic"/>
        <family val="2"/>
      </rPr>
      <t>P.Lee:</t>
    </r>
    <r>
      <rPr>
        <sz val="10"/>
        <color theme="1"/>
        <rFont val="Century Gothic"/>
        <family val="2"/>
      </rPr>
      <t xml:space="preserve">
It is providing different ways or examples on obtaining Gemba evidence.</t>
    </r>
  </si>
  <si>
    <t>Does my logic of my 5 whys makes sense to get to my root cause?  Please analyze and provide feedback</t>
  </si>
  <si>
    <t>To analyze the logic of your "5 Whys" and provide feedback on whether it effectively leads to the root cause, we can follow a structured approach based on the principles of the Problem Solving Process (PSP) within the Fortive Business System (FBS). Here’s how to evaluate your analysis:
### 1. **Clarity of the Problem Statement**
   - **Assessment**: Ensure that your initial problem statement is clear and specific. It should define the gap between the current state (Actual) and the desired state (Standard).
   - **Example**: If your problem statement is "Production delays are occurring," clarify what the expected production rate is versus the actual rate.
### 2. **Logical Flow of the 5 Whys**
   - **Assessment**: Each "Why" should logically lead to the next question, progressively digging deeper into the causes of the problem.
   - **Example**:
     - **Why are we experiencing production delays?** (e.g., Equipment breakdown)
     - **Why is the equipment breaking down?** (e.g., Lack of maintenance)
     - **Why is there a lack of maintenance?** (e.g., Insufficient training for maintenance staff)
     - **Why is there insufficient training?** (e.g., No training program in place)
     - **Why is there no training program?** (e.g., Budget constraints)
### 3. **Validation of Causes**
   - **Assessment**: Each identified cause should be validated with evidence, ideally through Gemba observations or data analysis. This ensures that the identified causes are not assumptions but are based on real observations.
   - **Example**: If you state that "lack of maintenance" is a cause, provide evidence from maintenance logs or interviews with maintenance staff that supports this claim.
### 4. **Limiting to Actual Causes**
   - **Assessment**: The final causes identified should be limited to no more than three actual causes, as recommended in the FBS methodology. This helps focus efforts on the most impactful areas.
   - **Example**: If your final causes are "lack of training" and "budget constraints," ensure these are the most significant contributors to the problem.
### 5. **Alignment with PSP Framework**
   - **Assessment**: Ensure that your "5 Whys" analysis aligns with the overall PSP framework, which emphasizes understanding the problem, identifying root causes, and planning actions to close the gap.
   - **Example**: After identifying the root causes, outline specific actions that can be taken to address them, such as developing a training program or reallocating budget resources.
### Conclusion and Feedback
If your "5 Whys" follow a logical progression, are supported by evidence, and lead to a limited number of actual causes, then your analysis is sound and effectively identifies the root cause. If any of these elements are lacking, consider revisiting those areas to strengthen your analysis.
If you would like to share your specific "5 Whys" for a more detailed review or need assistance in refining your logic, feel free to provide that information! Would you like to explore any particular aspect further?</t>
  </si>
  <si>
    <r>
      <rPr>
        <b/>
        <u/>
        <sz val="10"/>
        <color theme="1"/>
        <rFont val="Century Gothic"/>
        <family val="2"/>
      </rPr>
      <t>P.LEE</t>
    </r>
    <r>
      <rPr>
        <sz val="10"/>
        <color theme="1"/>
        <rFont val="Century Gothic"/>
        <family val="2"/>
      </rPr>
      <t xml:space="preserve">
this is not a generic prompt that can be answered with a standard answser, the 5 why's is dependendent on the PSR loaded.
Not a good prompt to use.
Unless the prompt is changed to "What are charateristics of a good 5 why" might be closer to the answer on column C
</t>
    </r>
  </si>
  <si>
    <t>how should I look at things differently if it is a Caused vs. a Created problem?</t>
  </si>
  <si>
    <t>Understanding the distinction between "Caused" and "Created" problems is crucial in the Problem Solving Process (PSP) within the Fortive Business System (FBS). This differentiation influences how you approach problem analysis and resolution. Here’s how to look at these two types of problems differently:
### 1. **Definition of Terms**
   - **Caused Problems**: These are issues that arise from external factors or events outside of the system or process. They are typically beyond the control of the organization and can include things like supply chain disruptions, regulatory changes, or natural disasters.
   - **Created Problems**: These are internal issues that stem from the organization’s own processes, systems, or decisions. They often result from inefficiencies, poor practices, or lack of adherence to standards.
### 2. **Approach to Problem Analysis**
   - **For Caused Problems**:
     - **Focus on External Factors**: Investigate the external circumstances that led to the problem. This may involve analyzing market conditions, supplier performance, or environmental factors.
     - **Example**: If a production line is halted due to a supplier failing to deliver materials on time, the problem is caused by the supplier's actions, not by internal processes.
     - **Action**: Develop contingency plans or alternative sourcing strategies to mitigate the impact of external disruptions.
   - **For Created Problems**:
     - **Focus on Internal Processes**: Analyze the internal systems and practices that contributed to the problem. This may involve reviewing workflows, employee training, or adherence to standard operating procedures.
     - **Example**: If a quality defect occurs due to improper training of staff on equipment usage, the problem is created by the organization’s training processes.
     - **Action**: Implement process improvements, such as enhanced training programs or revised standard operating procedures, to prevent recurrence.
### 3. **Root Cause Analysis**
   - **For Caused Problems**:
     - **Use External Data**: Gather data from external sources to understand the context of the problem. This could include market analysis reports, supplier performance metrics, or industry benchmarks.
     - **Example**: Analyzing market trends that led to increased demand for a product can help understand why a supplier was unable to meet delivery timelines.
   - **For Created Problems**:
     - **Conduct Internal Assessments**: Utilize tools like the "5 Whys" or Pareto analysis to identify root causes within the organization. Engage with employees at the Gemba to gather insights on process inefficiencies.
     - **Example**: If a defect is traced back to a lack of quality checks, the root cause analysis should focus on the quality control processes in place.
### 4. **Solution Development**
   - **For Caused Problems**:
     - **Develop Adaptive Strategies**: Solutions may involve adapting to external changes, such as finding new suppliers or adjusting production schedules based on market conditions.
     - **Example**: If a natural disaster affects supply chains, consider diversifying suppliers or increasing inventory levels to buffer against future disruptions.
   - **For Created Problems**:
     - **Implement Process Improvements**: Solutions should focus on improving internal processes, enhancing training, or refining workflows to eliminate the root causes.
     - **Example**: If employee errors are leading to defects, a solution could involve implementing a more robust training program and regular performance reviews.
### Conclusion
By recognizing whether a problem is caused by external factors or created by internal processes, you can tailor your analysis and solutions accordingly. This distinction is vital for effective problem-solving and aligns with the PSP framework, enabling you to close the gap between the current state and desired outcomes.
If you have specific examples of problems you are facing, feel free to share them for more tailored guidance! Would you like to explore any particular aspect further?</t>
  </si>
  <si>
    <r>
      <t xml:space="preserve">P.Lee:
This is a main question, and the answer is saying caused problems are all caused by issues beyond our control.  And created is focusing on internal processes which is wrong.
Should review where we are getting the info and if we need to correct it somewhere if it is indicating that.  
The new PSP deck has it all spelled out too why it is called Caused vs. Created and with distinct definitions
</t>
    </r>
    <r>
      <rPr>
        <sz val="10"/>
        <color theme="3"/>
        <rFont val="Century Gothic"/>
        <family val="2"/>
      </rPr>
      <t>https://fortive.sharepoint.com/sites/FBS/SiteAssets/SitePages/PSP/PSP-Facilitator-Deck-2025--Final.pptx?web=1</t>
    </r>
    <r>
      <rPr>
        <sz val="10"/>
        <color theme="1"/>
        <rFont val="Century Gothic"/>
        <family val="2"/>
      </rPr>
      <t xml:space="preserve">
</t>
    </r>
  </si>
  <si>
    <t>Create a Run chart that graphically helps show case the timing of of the problem</t>
  </si>
  <si>
    <t>Creating a Run Chart is an effective way to visualize the timing of a problem, helping to identify trends, patterns, and anomalies over time. Below is a structured approach to creating a Run Chart, incorporating the principles from the Fortive Business System (FBS).
### Steps to Create a Run Chart
1. **Define the Problem Statement Using TAGS**
   - **TAGS Framework**: Ensure you have a clear problem statement that includes:
     - **Target**: The desired outcome or standard.
     - **Actual**: The current performance or measurement.
     - **Gap**: The difference between the target and actual performance.
     - **Scope**: The context or boundaries of the problem.
   - **Example**: If the problem is related to production delays, your TAGS might look like this:
     - **Target**: 95% on-time delivery
     - **Actual**: 85% on-time delivery
     - **Gap**: 10%
     - **Scope**: Production line A over the last quarter.
2. **Collect Data**
   - Gather data points that reflect the performance over time. This data should be collected in the same units as used in your TAGS statement.
   - **Example Data**: Collect weekly on-time delivery percentages for the last 12 weeks:
     - Week 1: 90%
     - Week 2: 85%
     - Week 3: 80%
     - Week 4: 88%
     - Week 5: 82%
     - Week 6: 75%
     - Week 7: 87%
     - Week 8: 80%
     - Week 9: 78%
     - Week 10: 85%
     - Week 11: 83%
     - Week 12: 90%
3. **Set Up the Run Chart**
   - **X-Axis**: Represent time (e.g., weeks).
   - **Y-Axis**: Represent the performance metric (e.g., on-time delivery percentage).
   - **Plot the Data**: Mark each data point on the chart according to the week and the corresponding on-time delivery percentage.
4. **Add Reference Lines**
   - **Target Line**: Draw a horizontal line at the target percentage (e.g., 95%).
   - **Average Line**: Optionally, calculate and draw a line representing the average performance over the period.
   - **Example**: If the average on-time delivery over the 12 weeks is 82%, draw a horizontal line at 82%.
5. **Analyze the Chart**
   - Look for trends, spikes, or drops in performance. Identify any patterns that correlate with specific events or changes in the process.
   - **Example Analysis**: If you notice a significant drop in on-time delivery in Week 6, investigate what occurred during that week (e.g., equipment failure, staffing issues).
### Example of a Run Chart
Here’s a simplified representation of how your Run Chart might look:
```
On-Time Delivery Percentage
100% |                                      
 95% |------------------- Target Line --------
 90% |         *         *                       *
 85% |         *         *         *             *
 80% |         *         *         *             *
 75% |         *         *         *             *
 70% |___________________________________________
       Week 1  Week 2  Week 3  Week 4  Week 5  Week 6  Week 7  Week 8  Week 9  Week 10 Week 11 Week 12
```
### Conclusion
By following these steps, you can create a Run Chart that visually represents the timing of the problem and helps identify trends and potential causes. This aligns with the PSP framework, allowing you to analyze the gap between your actual performance and desired outcomes effectively.
If you need further assistance in creating the chart or analyzing specific data points, feel free to ask! Would you like to explore any particular aspect further?</t>
  </si>
  <si>
    <r>
      <rPr>
        <b/>
        <u/>
        <sz val="10"/>
        <color theme="1"/>
        <rFont val="Century Gothic"/>
        <family val="2"/>
      </rPr>
      <t>P.Lee</t>
    </r>
    <r>
      <rPr>
        <sz val="10"/>
        <color theme="1"/>
        <rFont val="Century Gothic"/>
        <family val="2"/>
      </rPr>
      <t xml:space="preserve">
This is not a good prompt without any data uploaded, in order to test this, the </t>
    </r>
    <r>
      <rPr>
        <b/>
        <sz val="10"/>
        <color theme="1"/>
        <rFont val="Century Gothic"/>
        <family val="2"/>
      </rPr>
      <t>same</t>
    </r>
    <r>
      <rPr>
        <sz val="10"/>
        <color theme="1"/>
        <rFont val="Century Gothic"/>
        <family val="2"/>
      </rPr>
      <t xml:space="preserve"> data file should be loaded to compare if it is still providing you with the consistent answer.   
Asking it the way it is not helpful to see if it is working, all you can validate is it is responding.
better prompt question might be "what are the steps in creating a run chart?" , "how do I create a run chart?" , or "what should I be looking out for when I create a run chart?"
Questions that will provide consistent answers not situational
</t>
    </r>
    <r>
      <rPr>
        <b/>
        <sz val="10"/>
        <color rgb="FFFF0000"/>
        <rFont val="Century Gothic"/>
        <family val="2"/>
      </rPr>
      <t>TAGS</t>
    </r>
    <r>
      <rPr>
        <sz val="10"/>
        <color rgb="FFFF0000"/>
        <rFont val="Century Gothic"/>
        <family val="2"/>
      </rPr>
      <t>:  TREND, ACTUAL, GAP, STANDARD - Not Target, Actual, Gap. Scope</t>
    </r>
  </si>
  <si>
    <t>what is a glide path and how do I create an action plan that can support the timing?</t>
  </si>
  <si>
    <t>A **glide path** is a strategic plan that outlines the steps and timeline necessary to achieve a specific goal or improvement target. It provides a clear trajectory for progress, ensuring that actions are aligned with desired outcomes and that stakeholders understand the timing and expectations involved. In the context of the Fortive Business System (FBS) and the Problem Solving Process (PSP), creating an effective action plan that supports the glide path is essential for successful implementation.
### Steps to Create an Action Plan that Supports the Glide Path
1. **Define the Improvement Priority**
   - **Action**: Clearly identify the specific process or area that needs improvement. This should be based on data analysis, such as findings from a Kaizen event or a run chart.
   - **Example**: If the goal is to reduce production downtime, specify that as your improvement priority.
2. **Set Clear Objectives**
   - **Action**: Establish measurable objectives that align with the glide path. These should be specific, measurable, achievable, relevant, and time-bound (SMART).
   - **Example**: Reduce production downtime by 20% within the next quarter.
3. **Identify Key Actions**
   - **Action**: List the specific actions required to achieve the objectives. Each action should contribute directly to closing the gap between the current state and the desired state.
   - **Example**:
     - Conduct a root cause analysis of downtime incidents.
     - Implement a preventive maintenance schedule.
     - Train staff on equipment operation and maintenance.
4. **Assign Responsibilities**
   - **Action**: Designate an action plan owner for each task. This ensures accountability and clarity regarding who is responsible for each action.
   - **Example**: Assign the maintenance manager to oversee the implementation of the preventive maintenance schedule.
5. **Establish a Timeline**
   - **Action**: Create a timeline for each action, indicating when it should start and when it should be completed. This timeline should align with the glide path, ensuring that all actions are scheduled to support the overall goal.
   - **Example**:
     - Root cause analysis: Start in Week 1, complete by Week 2.
     - Preventive maintenance schedule: Develop by Week 3, implement by Week 4.
     - Staff training: Schedule for Week 5.
6. **Monitor Progress**
   - **Action**: Set up regular check-ins to monitor progress against the glide path. This allows for adjustments to be made if necessary and ensures that the team stays on track.
   - **Example**: Weekly meetings to review progress on action items and discuss any challenges.
7. **Document and Communicate**
   - **Action**: Document the action plan in a clear format, including all the elements above. Share this document with all stakeholders to ensure transparency and alignment.
   - **Example**: Use a table format to outline the action plan, including columns for the improvement priority, action items, responsible parties, timelines, and comments.
### Example Action Plan Table
| Improvement Priority         | Action Item                               | Action Plan Owner | Timing                | Comments/Specific Time          |
|------------------------------|------------------------------------------|-------------------|-----------------------|---------------------------------|
| Reduce Production Downtime    | Conduct root cause analysis              | Maintenance Manager| Week 1 - Week 2      | Analyze downtime incidents       |
|                              | Implement preventive maintenance schedule | Maintenance Manager| Week 3 - Week 4      | Schedule maintenance tasks      |
|                              | Train staff on equipment operation       | Training Coordinator| Week 5               | Develop training materials      |
### Conclusion
By following these steps, you can create a comprehensive action plan that supports the glide path for your improvement initiative. This structured approach ensures that all actions are aligned with the desired outcomes and that progress is monitored effectively, ultimately leading to successful implementation of improvements within the Fortive Business System.
If you need further assistance in developing specific elements of your action plan or have questions about the glide path concept, feel free to ask! Would you like to explore any particular aspect further?</t>
  </si>
  <si>
    <r>
      <rPr>
        <b/>
        <u/>
        <sz val="10"/>
        <color theme="1"/>
        <rFont val="Century Gothic"/>
        <family val="2"/>
      </rPr>
      <t>P.Lee:</t>
    </r>
    <r>
      <rPr>
        <sz val="10"/>
        <color theme="1"/>
        <rFont val="Century Gothic"/>
        <family val="2"/>
      </rPr>
      <t xml:space="preserve">
Is there a reference somewhere in the PSP training deck on </t>
    </r>
    <r>
      <rPr>
        <b/>
        <sz val="10"/>
        <color theme="1"/>
        <rFont val="Century Gothic"/>
        <family val="2"/>
      </rPr>
      <t>SMART</t>
    </r>
    <r>
      <rPr>
        <sz val="10"/>
        <color theme="1"/>
        <rFont val="Century Gothic"/>
        <family val="2"/>
      </rPr>
      <t xml:space="preserve"> objectives?
A picture of a glide path would be very helpful here.   
The action plan answers are good and I do like the timeline creation part.
A key piece of info that should point out and usually used during the DEFINE state and the VERIFY stages of the DIVE process.
During the DEFINE Stage, the glide path  shows where we will end up after a certime time frame if we continue at the current course.
During the VERIFY stage, after we identify the CM to the root causes, it visually shows of the CM identified is sufficient to eliminate the gap at the timeframe needed.  If not, then additional CM might be needed.</t>
    </r>
  </si>
  <si>
    <t>on the DEFINE stage, what are the key things that I need to be on a look out for?</t>
  </si>
  <si>
    <t>In the DEFINE stage of the Problem Solving Process (PSP) within the Fortive Business System (FBS), it is crucial to establish a clear understanding of the problem at hand. This stage sets the foundation for effective problem resolution and involves several key elements that you should be on the lookout for:
### 1. **Clear Problem Statement**
   - **Action**: Formulate a concise and specific problem statement that captures the essence of the issue. This statement should articulate the gap between the current state (Actual) and the desired state (Standard).
   - **Example**: Instead of saying "Production is slow," a clearer problem statement would be "Production line A is operating at 70% efficiency, while the target efficiency is 90%, resulting in a 20% gap."
### 2. **Understanding the Scope**
   - **Action**: Define the boundaries of the problem. Identify what is in-scope and out-of-scope for the analysis to ensure that the focus remains on relevant factors.
   - **Example**: If the problem involves production delays, clarify whether you are focusing on a specific product line, shift, or time period.
### 3. **Data Collection**
   - **Action**: Gather relevant data that supports your understanding of the problem. This may include historical performance data, customer feedback, or operational metrics.
   - **Example**: Collect data on production rates, downtime incidents, and quality defects over the past few months to identify trends and patterns.
### 4. **Stakeholder Involvement**
   - **Action**: Engage with key stakeholders who are affected by or have insights into the problem. Their perspectives can provide valuable context and help validate the problem statement.
   - **Example**: Conduct interviews or surveys with operators, supervisors, and quality control personnel to gather insights on the challenges they face.
### 5. **Identifying the Impact**
   - **Action**: Assess the impact of the problem on the organization. This includes understanding how the problem affects productivity, quality, customer satisfaction, and overall business objectives.
   - **Example**: Determine how the 20% efficiency gap translates into lost revenue or increased costs, which can help prioritize the urgency of addressing the problem.
### 6. **Use of TAGS Framework**
   - **Action**: Utilize the TAGS framework (Target, Actual, Gap, Scope) to structure your problem definition. This framework helps ensure that all critical aspects of the problem are considered.
   - **Example**:
     - **Target**: 90% efficiency
     - **Actual**: 70% efficiency
     - **Gap**: 20%
     - **Scope**: Production line A for the last quarter.
### 7. **Run Chart Preparation**
   - **Action**: Prepare to create a run chart that visually represents the data over time. This chart will help illustrate trends and fluctuations related to the problem.
   - **Example**: Set up a run chart with time on the x-axis and production efficiency on the y-axis to visualize how performance has changed over the past months.
### Conclusion
By focusing on these key elements during the DEFINE stage, you can establish a solid foundation for your problem-solving efforts. This clarity will guide subsequent stages of the PSP, ensuring that the team is aligned and equipped to address the identified issues effectively.
If you have specific aspects of the DEFINE stage you would like to explore further or need assistance with a particular problem, feel free to ask! Would you like to dive deeper into any of these areas?</t>
  </si>
  <si>
    <r>
      <rPr>
        <b/>
        <u/>
        <sz val="10"/>
        <color theme="1"/>
        <rFont val="Century Gothic"/>
        <family val="2"/>
      </rPr>
      <t>P.Lee</t>
    </r>
    <r>
      <rPr>
        <sz val="10"/>
        <color theme="1"/>
        <rFont val="Century Gothic"/>
        <family val="2"/>
      </rPr>
      <t xml:space="preserve">
all right answers, I think what is missing is the topic of RATIONALE and TEAM selection.   It identifies the steps needed to create the TAGS, problem statement is good but the process in creating that should also be taken into consideration as this is a team sport and ensuring this is a problem worth solving.
</t>
    </r>
  </si>
  <si>
    <t>on the INVESTIGATE stage, what are the key things that I need to be on a look out for?</t>
  </si>
  <si>
    <t>In the INVESTIGATE stage of the Problem Solving Process (PSP) within the Fortive Business System (FBS), the focus is on thoroughly analyzing the problem to identify its root causes. This stage is critical for ensuring that the solutions developed later are based on a comprehensive understanding of the issue. Here are the key elements to look out for during the INVESTIGATE stage:
### 1. **Data Collection**
   - **Action**: Gather relevant quantitative and qualitative data that pertains to the problem. This data should help illustrate the extent of the issue and provide insights into potential causes.
   - **Example**: If the problem is related to increased defect rates in production, collect data on defect types, frequencies, and any relevant operational metrics over a defined period.
### 2. **Observation at the Gemba**
   - **Action**: Go to the actual location where the problem occurs (Gemba) to observe processes firsthand. This allows you to see the problem in context and gather insights that may not be evident from data alone.
   - **Example**: Observe the production line during different shifts to identify patterns in defects or inefficiencies, and engage with operators to understand their experiences.
### 3. **Engagement with Stakeholders**
   - **Action**: Involve key stakeholders, including employees, supervisors, and customers, to gather diverse perspectives on the problem. Their insights can provide valuable context and help validate findings.
   - **Example**: Conduct interviews or focus groups with team members to discuss their observations and experiences related to the problem.
### 4. **Identifying Patterns and Trends**
   - **Action**: Analyze the collected data for patterns or trends that may indicate underlying issues. Look for correlations between different data points that could help identify root causes.
   - **Example**: If you notice that defect rates spike during specific shifts or after certain maintenance activities, this could indicate a need for further investigation into those areas.
### 5. **Utilizing Problem-Solving Tools**
   - **Action**: Employ various problem-solving tools and methodologies, such as the "5 Whys," Fishbone Diagram (Ishikawa), or Pareto Analysis, to systematically analyze the problem and identify root causes.
   - **Example**: Use a Fishbone Diagram to categorize potential causes of defects into categories such as People, Processes, Equipment, and Materials.
### 6. **Validation of Findings**
   - **Action**: Validate the identified causes with evidence. Ensure that the conclusions drawn from the investigation are supported by data and observations.
   - **Example**: If a lack of training is identified as a root cause, review training records and gather feedback from employees about their training experiences.
### 7. **Documentation of Insights**
   - **Action**: Document all findings, insights, and data collected during the investigation. This documentation will be crucial for the next stages of the PSP and for communicating findings to stakeholders.
   - **Example**: Create a report summarizing the investigation process, data analysis, and identified root causes, which can be shared with the team and leadership.
### Conclusion
By focusing on these key elements during the INVESTIGATE stage, you can ensure a comprehensive understanding of the problem and its root causes. This thorough analysis will set the stage for effective problem resolution and align with the overall goals of the Fortive Business System.
If you have specific aspects of the INVESTIGATE stage you would like to explore further or need assistance with a particular problem, feel free to ask! Would you like to dive deeper into any of these areas?</t>
  </si>
  <si>
    <r>
      <rPr>
        <b/>
        <sz val="10"/>
        <color theme="1"/>
        <rFont val="Century Gothic"/>
        <family val="2"/>
      </rPr>
      <t>P.Lee:</t>
    </r>
    <r>
      <rPr>
        <sz val="10"/>
        <color theme="1"/>
        <rFont val="Century Gothic"/>
        <family val="2"/>
      </rPr>
      <t xml:space="preserve">
All correct answers but incomplete.
During investigate the main step here is working on the Paretos and that should be a main topic,  it is embedded in the **Utilizing Problem solving tools**
Missing topics like
 1)L1 Pareto in relation to Pareto 2 (a subset and there is linkage.
2) the cummulative %, what is acceptable?,  
3the Pareto units of measure should be the same units as the GAP.
4) 5 whys logic making sense going forward and backward asking "BECAUSE" and "AS A RESULT/ THEREFORE"</t>
    </r>
  </si>
  <si>
    <t>On the VERIFY stage, what are the key things that I need to be on a look out for?</t>
  </si>
  <si>
    <t>In the VERIFY stage of the Problem Solving Process (PSP) within the Fortive Business System (FBS), the focus is on confirming that the implemented solutions effectively address the identified problems and that the desired outcomes are being achieved. This stage is critical for ensuring that the actions taken have led to meaningful improvements. Here are the key elements to look out for during the VERIFY stage:
### 1. **Establish Clear Metrics for Success**
   - **Action**: Define specific metrics that will be used to evaluate the effectiveness of the implemented solutions. These metrics should align with the objectives set during the DEFINE stage.
   - **Example**: If the goal was to reduce production downtime, metrics could include on-time delivery rates, production efficiency percentages, and the frequency of downtime incidents.
### 2. **Collect Data Post-Implementation**
   - **Action**: Gather data after the solutions have been implemented to assess their impact. This data should be compared against the baseline data collected prior to the implementation.
   - **Example**: If you implemented a new maintenance schedule, collect data on equipment downtime and production rates over a defined period after the changes were made.
### 3. **Analyze Results Against Targets**
   - **Action**: Analyze the collected data to determine whether the results meet the established targets. Look for trends and patterns that indicate whether the solutions are effective.
   - **Example**: If the target was to achieve a 20% reduction in downtime, calculate the actual reduction and assess whether it meets the target.
### 4. **Engage Stakeholders for Feedback**
   - **Action**: Involve key stakeholders, including team members and supervisors, to gather qualitative feedback on the changes. Their insights can provide context to the data and highlight any unforeseen issues.
   - **Example**: Conduct surveys or hold meetings to discuss how the changes have affected daily operations and whether any new challenges have arisen.
### 5. **Identify Any Unintended Consequences**
   - **Action**: Look for any unintended consequences that may have resulted from the implemented solutions. These could be negative impacts that were not anticipated during the planning phase.
   - **Example**: If a new process was introduced to speed up production, check if it has led to an increase in defects or employee dissatisfaction.
### 6. **Document Findings and Adjustments**
   - **Action**: Document all findings from the verification process, including successes, challenges, and any adjustments that need to be made. This documentation will be valuable for future problem-solving efforts.
   - **Example**: Create a report summarizing the results of the verification process, including data analysis, stakeholder feedback, and any necessary changes to the implemented solutions.
### 7. **Plan for Continuous Improvement**
   - **Action**: Use the insights gained during the VERIFY stage to inform future improvement initiatives. Continuous improvement is a core principle of the FBS, and lessons learned should be applied to ongoing processes.
   - **Example**: If certain aspects of the solution were effective while others were not, consider refining the approach and planning additional kaizen events to address remaining issues.
### Conclusion
By focusing on these key elements during the VERIFY stage, you can ensure that the solutions implemented are effective and that the desired outcomes are being achieved. This thorough verification process aligns with the overall goals of the Fortive Business System and supports continuous improvement efforts.
If you have specific aspects of the VERIFY stage you would like to explore further or need assistance with a particular problem, feel free to ask! Would you like to dive deeper into any of these areas?</t>
  </si>
  <si>
    <r>
      <rPr>
        <b/>
        <sz val="10"/>
        <color theme="1"/>
        <rFont val="Century Gothic"/>
        <family val="2"/>
      </rPr>
      <t>P.Lee</t>
    </r>
    <r>
      <rPr>
        <sz val="10"/>
        <color theme="1"/>
        <rFont val="Century Gothic"/>
        <family val="2"/>
      </rPr>
      <t xml:space="preserve">
All correct and good answers but is missing a few key items.
VERIFY stage,1)  we need to ensure the CM identified is improving the GAP 2) ensure that we have enough CM to   3) ensure that there is Temporary and Permanent CM.   4) Target dates are not all at the end of the year, and there is sense of urgency to improve things.  5) CM will delivery results at the expected timeline by using the GLIDEPATH to visually see when will mitigate the gap.</t>
    </r>
  </si>
  <si>
    <t>on the ENSURE sustainment stage, what are the key things that I need to look out for?</t>
  </si>
  <si>
    <t>In the ENSURE sustainment stage of the Problem Solving Process (PSP) within the Fortive Business System (FBS), the focus is on maintaining the improvements achieved through previous stages and ensuring that the solutions implemented continue to deliver the desired results over time. This stage is critical for embedding changes into the organizational culture and preventing regression to old habits. Here are the key elements to look out for during the ENSURE sustainment stage:
### 1. **Standardization of Processes**
   - **Action**: Develop and document standard operating procedures (SOPs) that reflect the new processes and improvements. This ensures that everyone follows the same methods and practices.
   - **Example**: If a new maintenance schedule was implemented to reduce equipment downtime, create an SOP that outlines the maintenance tasks, frequency, and responsible personnel.
### 2. **Training and Development**
   - **Action**: Provide ongoing training for employees to ensure they are familiar with the new processes and understand their roles in sustaining improvements.
   - **Example**: Conduct training sessions for staff on the updated procedures and any new tools or technologies introduced during the improvement process.
### 3. **Monitoring and Measurement**
   - **Action**: Establish metrics and key performance indicators (KPIs) to continuously monitor the effectiveness of the implemented solutions. Regularly review these metrics to identify any deviations from expected performance.
   - **Example**: If the goal was to maintain a 20% reduction in downtime, track downtime metrics weekly and compare them against the target to ensure compliance.
### 4. **Feedback Mechanisms**
   - **Action**: Create channels for employees to provide feedback on the new processes. This can help identify issues early and allow for adjustments to be made as needed.
   - **Example**: Implement regular check-in meetings or anonymous surveys to gather input from team members about the effectiveness of the changes and any challenges they face.
### 5. **Leadership Engagement**
   - **Action**: Ensure that leadership remains engaged and supportive of the changes. Their commitment is crucial for fostering a culture of continuous improvement.
   - **Example**: Leaders should regularly communicate the importance of the changes and recognize team members who contribute to sustaining improvements.
### 6. **Continuous Improvement Culture**
   - **Action**: Foster a culture of continuous improvement where employees are encouraged to identify further opportunities for enhancement. This mindset helps sustain improvements and drives ongoing success.
   - **Example**: Encourage teams to hold regular kaizen events to explore new areas for improvement and to celebrate successes achieved through the changes.
### 7. **Regular Reviews and Audits**
   - **Action**: Schedule periodic reviews and audits of the processes to ensure compliance with the new standards and to assess the effectiveness of the improvements.
   - **Example**: Conduct quarterly audits to evaluate adherence to the new maintenance schedule and to identify any areas that may need additional support or adjustment.
### Conclusion
By focusing on these key elements during the ENSURE sustainment stage, you can effectively maintain the improvements achieved through the PSP. This structured approach aligns with the overall goals of the Fortive Business System, ensuring that the organization continues to deliver extraordinary results and closes the gap between current performance and desired outcomes.
If you have specific aspects of the ENSURE sustainment stage you would like to explore further or need assistance with a particular problem, feel free to ask! Would you like to dive deeper into any of these areas?</t>
  </si>
  <si>
    <r>
      <rPr>
        <b/>
        <sz val="10"/>
        <color theme="1"/>
        <rFont val="Century Gothic"/>
        <family val="2"/>
      </rPr>
      <t>P.Lee</t>
    </r>
    <r>
      <rPr>
        <sz val="10"/>
        <color theme="1"/>
        <rFont val="Century Gothic"/>
        <family val="2"/>
      </rPr>
      <t xml:space="preserve">
Good decent answers, but lacking a few key things. 1) no mention og how the sustaintmaint is going to happen.  What is the review cadence of the progress and most important how are they incorporating Daily Management process into the ENSURE SUSTAINMENT step of PSP.</t>
    </r>
  </si>
  <si>
    <t>Provide me with a blank PSR form</t>
  </si>
  <si>
    <t>A Problem Solving Report (PSR) is an essential communication tool within the Fortive Business System (FBS) that captures the current understanding and actions being taken to address a problem. Below is a blank template for a PSR that you can use to document your problem-solving efforts. This template includes key sections that should be filled out to ensure comprehensive reporting.
### Blank Problem Solving Report (PSR) Template
---
**Problem Solving Report (PSR)**
**Date:** _______________________
**Team Members:** _______________________________________________________
**Problem Statement:**
- **Target:** ___________________________________________________________
- **Actual:** ___________________________________________________________
- **Gap:** _____________________________________________________________
- **Scope:** ___________________________________________________________
---
**1. Problem Description**
   - Briefly describe the problem and its impact on the organization.
   - ______________________________________________________________________
   - ______________________________________________________________________
**2. Data Collection**
   - Summarize the data collected to understand the problem.
   - ______________________________________________________________________
   - ______________________________________________________________________
**3. Root Cause Analysis**
   - List the identified root causes using tools such as the "5 Whys" or Fishbone Diagram.
   - ______________________________________________________________________
   - ______________________________________________________________________
**4. Action Plan**
   - Outline the actions to be taken to address the root causes.
   - **Action Item:** ______________________________________________________
   - **Owner:** ___________________________________________________________
   - **Due Date:** ________________________________________________________
   - **Status:** ___________________________________________________________
---
**5. Monitoring and Measurement**
   - Describe how the effectiveness of the actions will be measured.
   - ______________________________________________________________________
   - ______________________________________________________________________
**6. Follow-Up Actions**
   - List any follow-up actions required to ensure sustainment of improvements.
   - ______________________________________________________________________
   - ______________________________________________________________________
**7. Additional Notes**
   - Include any other relevant information or insights.
   - ______________________________________________________________________
   - ______________________________________________________________________
---
### Example of a Completed PSR Section
**Problem Statement:**
- **Target:** 95% on-time delivery
- **Actual:** 85% on-time delivery
- **Gap:** 10%
- **Scope:** Production line A for Q1 2023
**1. Problem Description**
   - The production line A has been consistently missing on-time delivery targets, impacting customer satisfaction and revenue.
**2. Data Collection**
   - Collected data on delivery rates over the past three months, identifying a trend of increasing delays.
**3. Root Cause Analysis**
   - Identified root causes include equipment breakdowns, insufficient staffing, and lack of training.
**4. Action Plan**
   - **Action Item:** Implement a preventive maintenance schedule
   - **Owner:** Maintenance Manager
   - **Due Date:** March 15, 2023
   - **Status:** In Progress
---
### Conclusion
This blank PSR template can be customized to fit the specific needs of your problem-solving efforts. By documenting your findings and actions in a structured manner, you can enhance communication and ensure that all team members are aligned in addressing the problem effectively.
If you need further assistance in filling out the PSR or have specific questions about any section, feel free to ask! Would you like to explore any particular aspect further?</t>
  </si>
  <si>
    <r>
      <rPr>
        <b/>
        <sz val="10"/>
        <color theme="1"/>
        <rFont val="Century Gothic"/>
        <family val="2"/>
      </rPr>
      <t>P.Lee</t>
    </r>
    <r>
      <rPr>
        <sz val="10"/>
        <color theme="1"/>
        <rFont val="Century Gothic"/>
        <family val="2"/>
      </rPr>
      <t xml:space="preserve">
This is not what the prompt is asking for.  It is asking for a blank PSR form.  The answer should be a link to the FBS Templates.  It should not be recreating it by typing something up.</t>
    </r>
  </si>
  <si>
    <t xml:space="preserve">What is the difference and the relationship of a Level 1 to a Level 2 pareto?  </t>
  </si>
  <si>
    <t>The distinction between Level 1 and Level 2 Pareto Charts is essential for effectively analyzing problems and understanding their root causes within the Problem Solving Process (PSP) of the Fortive Business System (FBS). Here’s a comprehensive overview of the differences and the relationship between the two types of Pareto Charts:
### Level 1 Pareto Chart (Where)
- **Purpose**: The Level 1 Pareto Chart focuses on identifying **where** the problems are occurring. It visually represents the frequency or impact of various issues, allowing teams to prioritize which problems to address first.
- **Data Representation**: This chart typically displays categories of problems or issues on the x-axis and their corresponding frequencies or impacts on the y-axis. It often includes a cumulative percentage line to show the overall impact of the identified issues.
- **Example**: If a company is experiencing revenue misses, a Level 1 Pareto Chart might show the revenue shortfall by region:
  - Southeast Region: $180K (72%)
  - West Region: $50K (20%)
  - East Region: $20K (8%)
- **Insight**: This chart helps teams quickly identify which regions are contributing most significantly to the revenue miss, guiding them to focus their efforts on the Southeast Region first.
### Level 2 Pareto Chart (Why)
- **Purpose**: The Level 2 Pareto Chart delves deeper into the **why** behind the problems identified in the Level 1 chart. It analyzes the root causes of the issues, providing insights into the factors contributing to the problems.
- **Data Representation**: This chart categorizes the reasons for the problems identified in the Level 1 chart. It may show the frequency of different root causes or contributing factors, again with a cumulative percentage line.
- **Example**: Continuing with the revenue miss example, a Level 2 Pareto Chart might analyze the reasons for the revenue shortfall:
  - Sales Coverage: $140K (56%)
  - Campaign Effectiveness: $30K (12%)
  - Auto Verticals: $10K (4%)
- **Insight**: This chart helps teams understand that inadequate sales coverage is the primary reason for the revenue miss, prompting them to investigate and address this specific issue.
### Relationship Between Level 1 and Level 2 Pareto Charts
- **Sequential Analysis**: The Level 1 Pareto Chart serves as the starting point for analysis, identifying where the problems are. Once the significant issues are identified, the Level 2 Pareto Chart is used to explore the underlying causes of those issues.
- **Complementary Insights**: Together, these charts provide a comprehensive view of the problem. The Level 1 chart highlights the most pressing issues, while the Level 2 chart reveals the root causes that need to be addressed to resolve those issues effectively.
- **Guiding Problem-Solving Efforts**: By using both charts, teams can prioritize their problem-solving efforts. They can first tackle the most significant issues identified in the Level 1 chart and then focus on the root causes revealed in the Level 2 chart.
### Conclusion
In summary, the Level 1 Pareto Chart identifies **where** problems are occurring, while the Level 2 Pareto Chart investigates **why** those problems are happening. Together, they form a powerful analytical tool that guides teams through the Problem Solving Process, enabling them to deliver extraordinary results and close the gap between current performance and desired outcomes.
If you have further questions or need assistance with creating these charts, feel free to ask! Would you like to explore any specific examples or applications of these concepts?</t>
  </si>
  <si>
    <r>
      <rPr>
        <b/>
        <sz val="10"/>
        <color theme="1"/>
        <rFont val="Century Gothic"/>
        <family val="2"/>
      </rPr>
      <t>P.Lee</t>
    </r>
    <r>
      <rPr>
        <sz val="10"/>
        <color theme="1"/>
        <rFont val="Century Gothic"/>
        <family val="2"/>
      </rPr>
      <t xml:space="preserve">
Answer is correct.  </t>
    </r>
  </si>
  <si>
    <t>How is the Level 2 pareto related to the 5 whys?</t>
  </si>
  <si>
    <t>The Level 2 Pareto Chart and the "5 Whys" technique are both essential tools in the Problem Solving Process (PSP) within the Fortive Business System (FBS). They serve complementary purposes in identifying and analyzing the root causes of problems. Here’s a detailed explanation of how they are related:
### Level 2 Pareto Chart
- **Purpose**: The Level 2 Pareto Chart focuses on identifying **why** problems are occurring. It categorizes the root causes of issues identified in the Level 1 Pareto Chart, which highlights **where** the problems are happening.
- **Data Representation**: This chart displays the frequency or impact of various root causes, allowing teams to prioritize which causes to address first based on their significance.
- **Example**: If a Level 1 Pareto Chart shows that production delays are primarily occurring in the Southeast Region, the Level 2 Pareto Chart might analyze the reasons for these delays, such as:
  - Equipment failure: 60%
  - Staffing shortages: 25%
  - Process inefficiencies: 15%
### The 5 Whys Technique
- **Purpose**: The "5 Whys" is a root cause analysis tool used to explore the underlying causes of a problem by repeatedly asking "why" until the fundamental cause is identified. This technique helps drill down into the specifics of why an issue is occurring.
- **Process**: Starting with a problem statement, you ask "why" the problem exists, and for each answer, you continue to ask "why" until you reach the root cause.
- **Example**: If the problem is identified as "equipment failure," the 5 Whys might look like this:
  1. **Why** did the equipment fail? → Because it was not maintained properly.
  2. **Why** was it not maintained properly? → Because the maintenance schedule was not followed.
  3. **Why** was the maintenance schedule not followed? → Because staff were not trained on the importance of maintenance.
  4. **Why** were staff not trained? → Because there was no training program in place.
  5. **Why** was there no training program? → Because of budget constraints.
### Relationship Between Level 2 Pareto and 5 Whys
1. **Complementary Analysis**:
   - The Level 2 Pareto Chart provides a visual representation of the most significant root causes identified from the Level 1 chart. It helps prioritize which causes to investigate further using the 5 Whys technique.
   - For example, if the Level 2 Pareto Chart indicates that "equipment failure" is a major contributor to production delays, the team can then apply the 5 Whys to explore this specific cause in detail.
2. **Focused Investigation**:
   - By using the Level 2 Pareto Chart to identify the most impactful root causes, teams can focus their 5 Whys analysis on those areas that will yield the greatest benefit in terms of problem resolution.
   - This targeted approach ensures that resources are used efficiently and that the most critical issues are addressed first.
3. **Validation of Findings**:
   - The insights gained from the 5 Whys can validate or refine the findings from the Level 2 Pareto Chart. If the 5 Whys analysis reveals additional underlying causes not initially identified, these can be incorporated into the problem-solving efforts.
   - For instance, if the 5 Whys uncover that a lack of training is a root cause, this information can be added to the Level 2 analysis, prompting further action.
### Conclusion
In summary, the Level 2 Pareto Chart and the 5 Whys technique are interconnected tools that enhance the problem-solving process. The Level 2 Pareto Chart identifies and prioritizes root causes, while the 5 Whys technique provides a structured approach to deeply analyze those causes. Together, they enable teams to effectively address problems and implement sustainable solutions within the Fortive Business System.
If you have further questions or need assistance with applying these concepts, feel free to ask! Would you like to explore any specific examples or applications of these tools?</t>
  </si>
  <si>
    <t>P.Lee</t>
  </si>
  <si>
    <t>Provide me with a Experiment card</t>
  </si>
  <si>
    <t>An Experiment Card is a valuable tool used in the Fortive Business System (FBS) to document and track experiments or tests conducted during a kaizen event or problem-solving process. It helps teams systematically test hypotheses, gather data, and analyze results to drive continuous improvement. Below is a template for an Experiment Card, along with explanations of each section.
### Experiment Card Template
---
**Experiment Card**
**Date:** _______________________
**Team Members:** _______________________________________________________
**Experiment Title:** ____________________________________________________
**Objective of the Experiment:**
- Clearly state the purpose of the experiment and what you aim to achieve.
- ______________________________________________________________________
- ______________________________________________________________________
**Hypothesis:**
- Formulate a hypothesis that you intend to test through the experiment.
- ______________________________________________________________________
- ______________________________________________________________________
**Background Information:**
- Provide context or background information relevant to the experiment, including any previous findings or data that support the need for this experiment.
- ______________________________________________________________________
- ______________________________________________________________________
**Methodology:**
- Outline the steps you will take to conduct the experiment. Include details on how data will be collected and analyzed.
- ______________________________________________________________________
- ______________________________________________________________________
**Data Collection Plan:**
- Specify what data will be collected, how it will be measured, and the timeframe for data collection.
- ______________________________________________________________________
- ______________________________________________________________________
**Expected Outcomes:**
- Describe what you expect to find as a result of the experiment.
- ______________________________________________________________________
- ______________________________________________________________________
**Results:**
- After conducting the experiment, document the actual results and any observations made during the process.
- ______________________________________________________________________
- ______________________________________________________________________
**Analysis:**
- Analyze the results in relation to the hypothesis. Did the experiment support or refute your hypothesis?
- ______________________________________________________________________
- ______________________________________________________________________
**Next Steps:**
- Based on the results and analysis, outline the next steps or actions to be taken.
- ______________________________________________________________________
- ______________________________________________________________________
**Notes:**
- Include any additional notes or comments relevant to the experiment.
- ______________________________________________________________________
- ______________________________________________________________________
---
### Example of a Completed Experiment Card Section
**Experiment Title:** Improve Production Efficiency
**Objective of the Experiment:**
- To determine if implementing a new workflow will reduce production time by 15%.
**Hypothesis:**
- Implementing a streamlined workflow will decrease production time and increase output.
**Background Information:**
- Previous data indicated that production time averaged 10 hours per unit. A review of the current workflow revealed several bottlenecks.
**Methodology:**
- Implement the new workflow for one week and compare production times to the previous week.
**Data Collection Plan:**
- Measure production time for each unit produced during the experiment and compare it to the baseline data collected from the previous week.
**Expected Outcomes:**
- A reduction in average production time to 8.5 hours per unit.
**Results:**
- Average production time during the experiment was 8.2 hours per unit.
**Analysis:**
- The results support the hypothesis, indicating that the new workflow is effective in reducing production time.
**Next Steps:**
- Standardize the new workflow across all production lines and monitor for further improvements.
### Conclusion
This Experiment Card template can be customized to fit the specific needs of your experiments within the kaizen framework. By documenting your experiments systematically, you can enhance communication, track progress, and ensure that improvements are based on data-driven insights.
If you need further assistance in filling out the Experiment Card or have specific questions about conducting experiments, feel free to ask! Would you like to explore any particular aspect further?</t>
  </si>
  <si>
    <r>
      <rPr>
        <b/>
        <u/>
        <sz val="10"/>
        <color theme="1"/>
        <rFont val="Century Gothic"/>
        <family val="2"/>
      </rPr>
      <t>P.Lee</t>
    </r>
    <r>
      <rPr>
        <sz val="10"/>
        <color theme="1"/>
        <rFont val="Century Gothic"/>
        <family val="2"/>
      </rPr>
      <t xml:space="preserve">
Prompt is asking for an experiment card. It should be providing a link to the Templates tab for the actual experiment card.
It is not asking WHAT is an experiment card.</t>
    </r>
  </si>
  <si>
    <t>provide me with the excel template to track all my experiments</t>
  </si>
  <si>
    <t>To effectively track experiments within the Fortive Business System (FBS), particularly during kaizen events, an Excel template can be a valuable tool. Below is a structured outline for an Excel template that you can use to document and monitor your experiments. This template includes key sections that will help you organize your data and analyze the results systematically.
### Excel Template Structure for Tracking Experiments
You can create an Excel spreadsheet with the following columns:
| **Experiment ID** | **Experiment Title** | **Date** | **Objective** | **Hypothesis** | **Methodology** | **Data Collection Plan** | **Expected Outcomes** | **Results** | **Analysis** | **Next Steps** | **Notes** |
|--------------------|----------------------|----------|----------------|----------------|------------------|-------------------------|----------------------|-------------|--------------|---------------|-----------|
| 1                  | Improve Production Efficiency | 01/01/2023 | Reduce production time by 15% | New workflow will decrease production time | Implement new workflow for one week | Measure production time for each unit | Average production time to 8.5 hours | Average production time was 8.2 hours | Results support hypothesis | Standardize new workflow | Additional training needed |
### Detailed Explanation of Each Column
1. **Experiment ID**: A unique identifier for each experiment to facilitate tracking.
2. **Experiment Title**: A brief title that summarizes the focus of the experiment.
3. **Date**: The date when the experiment is initiated.
4. **Objective**: Clearly state the purpose of the experiment and what you aim to achieve.
5. **Hypothesis**: Formulate a hypothesis that you intend to test through the experiment.
6. **Methodology**: Outline the steps you will take to conduct the experiment.
7. **Data Collection Plan**: Specify what data will be collected, how it will be measured, and the timeframe for data collection.
8. **Expected Outcomes**: Describe what you expect to find as a result of the experiment.
9. **Results**: Document the actual results and any observations made during the process.
10. **Analysis**: Analyze the results in relation to the hypothesis. Did the experiment support or refute your hypothesis?
11. **Next Steps**: Based on the results and analysis, outline the next steps or actions to be taken.
12. **Notes**: Include any additional notes or comments relevant to the experiment.
### Example of How to Use the Template
1. **Experiment ID**: 1
2. **Experiment Title**: Improve Production Efficiency
3. **Date**: 01/01/2023
4. **Objective**: Reduce production time by 15%
5. **Hypothesis**: Implementing a streamlined workflow will decrease production time and increase output.
6. **Methodology**: Implement the new workflow for one week and compare production times to the previous week.
7. **Data Collection Plan**: Measure production time for each unit produced during the experiment and compare it to the baseline data collected from the previous week.
8. **Expected Outcomes**: A reduction in average production time to 8.5 hours per unit.
9. **Results**: Average production time during the experiment was 8.2 hours per unit.
10. **Analysis**: The results support the hypothesis, indicating that the new workflow is effective in reducing production time.
11. **Next Steps**: Standardize the new workflow across all production lines and monitor for further improvements.
12. **Notes**: Consider additional training for staff on the new workflow.
### Conclusion
This Excel template provides a structured approach to tracking experiments, ensuring that all relevant information is documented and easily accessible. By using this template, you can enhance communication within your team and facilitate data-driven decision-making during kaizen events and other improvement initiatives.
If you need further assistance in setting up the Excel file or have specific questions about tracking experiments, feel free to ask! Would you like to explore any particular aspect further?</t>
  </si>
  <si>
    <r>
      <rPr>
        <b/>
        <sz val="10"/>
        <color theme="1"/>
        <rFont val="Century Gothic"/>
        <family val="2"/>
      </rPr>
      <t>P.Lee</t>
    </r>
    <r>
      <rPr>
        <sz val="10"/>
        <color theme="1"/>
        <rFont val="Century Gothic"/>
        <family val="2"/>
      </rPr>
      <t xml:space="preserve">
Experimentation database to track experiments conducted is located in the FBS Templates.  It should not be recreating anything.  It should be providing a link to the right location</t>
    </r>
  </si>
  <si>
    <t>How do I properly do a VOC?  What are the key things I need to take into consideration?</t>
  </si>
  <si>
    <t>Conducting a Voice of the Customer (VOC) exercise is a critical component of the Fortive Business System (FBS) that helps organizations understand customer needs, preferences, and expectations. Properly executing a VOC initiative involves several key steps and considerations. Here’s a comprehensive guide on how to effectively conduct a VOC and what to keep in mind:
### Steps to Conduct a VOC
1. **Define Objectives**
   - **Action**: Clearly outline the goals of the VOC initiative. What specific information do you want to gather from customers? This could include feedback on product features, service quality, or overall satisfaction.
   - **Example**: If launching a new product, the objective might be to understand customer expectations regarding functionality and pricing.
2. **Identify Target Customers**
   - **Action**: Determine which customer segments you want to engage. This could include current customers, potential customers, or specific demographic groups.
   - **Example**: For a software product, you might target existing users, trial users, and industry experts to gather diverse insights.
3. **Select Data Collection Methods**
   - **Action**: Choose appropriate methods for collecting customer feedback. Common methods include surveys, interviews, focus groups, and observational studies.
   - **Example**: Use online surveys to gather quantitative data and conduct in-depth interviews for qualitative insights.
4. **Develop Questions**
   - **Action**: Create clear and concise questions that align with your objectives. Ensure that questions are open-ended to encourage detailed responses, as well as closed-ended for quantitative analysis.
   - **Example**: 
     - Open-ended: "What features do you find most valuable in our product?"
     - Closed-ended: "On a scale of 1 to 10, how satisfied are you with our customer service?"
5. **Engage with Customers**
   - **Action**: Reach out to customers using the selected methods. Ensure that the process is user-friendly and that customers feel their feedback is valued.
   - **Example**: Send personalized invitations to participate in surveys or interviews, highlighting how their input will influence future improvements.
6. **Analyze the Data**
   - **Action**: Once data is collected, analyze it to identify trends, patterns, and key insights. Use statistical tools for quantitative data and thematic analysis for qualitative feedback.
   - **Example**: If survey results show that 70% of customers desire a specific feature, this indicates a strong demand that should be prioritized.
7. **Communicate Findings**
   - **Action**: Share the insights gathered from the VOC with relevant stakeholders, including product development, marketing, and customer service teams. This ensures that everyone is aligned on customer needs.
   - **Example**: Create a report summarizing key findings and recommendations based on customer feedback.
8. **Implement Changes**
   - **Action**: Use the insights from the VOC to inform decision-making and drive improvements in products, services, or processes.
   - **Example**: If customers express a need for improved user interface design, prioritize this in the next product development cycle.
9. **Follow-Up with Customers**
   - **Action**: After implementing changes based on VOC feedback, follow up with customers to inform them of the improvements made and gather additional feedback.
   - **Example**: Send a communication to customers highlighting how their feedback led to specific changes, reinforcing their importance in the process.
### Key Considerations for VOC
- **Customer-Centric Approach**: Always keep the customer at the center of your VOC efforts. Understand their pain points and preferences to drive meaningful improvements.
- **Diverse Perspectives**: Ensure that you gather feedback from a broad range of customers to avoid blind spots. Different segments may have varying needs and expectations.
- **Continuous Improvement**: Treat VOC as an ongoing process rather than a one-time event. Regularly engage with customers to stay updated on their evolving needs.
- **Data Integrity**: Ensure that the data collected is reliable and valid. Use appropriate sampling methods and avoid leading questions that could bias responses.
- **Actionable Insights**: Focus on gathering insights that can lead to actionable changes. Avoid collecting data for the sake of data; ensure it serves a purpose.
### Conclusion
By following these steps and considerations, you can effectively conduct a Voice of the Customer initiative that aligns with the principles of the Fortive Business System. This approach will help you gather valuable insights that can drive continuous improvement and enhance customer satisfaction.
If you have further questions or need assistance with specific aspects of conducting a VOC, feel free to ask! Would you like to explore any particular area in more detail?</t>
  </si>
  <si>
    <t xml:space="preserve">P.LEE
TAGS definiton is not correct.                                                           </t>
  </si>
  <si>
    <t>What specific problem statement should I formulate based on my current situation?</t>
  </si>
  <si>
    <t>Formulating a specific problem statement is a critical step in the Problem Solving Process (PSP) within the Fortive Business System (FBS). A well-defined problem statement helps clarify the issue at hand and guides the subsequent analysis and action planning. Here’s how to create an effective problem statement based on your current situation:
### Steps to Formulate a Problem Statement
1. **Identify the Current Situation**
   - **Action**: Begin by clearly describing the current state of affairs. What is happening that indicates a problem?
   - **Example**: "Production line A has been experiencing frequent delays."
2. **Define the Desired Outcome**
   - **Action**: Specify what the ideal or desired state looks like. What do you want to achieve?
   - **Example**: "The target is to achieve 95% on-time delivery for all products."
3. **Determine the Gap**
   - **Action**: Identify the discrepancy between the current situation and the desired outcome. This gap is crucial for understanding the significance of the problem.
   - **Example**: "Currently, on-time delivery is at 80%, resulting in a 15% gap from the target."
4. **Use the TAGS Framework**
   - **Action**: Structure your problem statement using the TAGS framework (Target, Actual, Gap, Scope). This ensures that all critical elements are included.
   - **Example**:
     - **Target**: 95% on-time delivery
     - **Actual**: 80% on-time delivery
     - **Gap**: 15%
     - **Scope**: Production line A for the last quarter.
5. **Draft the Problem Statement**
   - **Action**: Combine the elements into a clear and concise statement that captures the essence of the problem.
   - **Example**: "Production line A is currently achieving 80% on-time delivery, which is 15% below the target of 95%, resulting in delays that impact customer satisfaction and revenue."
### Example Problem Statement
**Problem Statement**: "Production line A is currently achieving 80% on-time delivery, which is 15% below the target of 95%. This gap has resulted in increased customer complaints and a potential loss of revenue over the last quarter."
### Key Considerations
- **Clarity**: Ensure that the problem statement is clear and easily understood by all stakeholders.
- **Specificity**: Avoid vague language; be specific about the issue, the metrics involved, and the impact.
- **Relevance**: Make sure the problem statement is relevant to the current situation and aligns with organizational goals.
### Conclusion
By following these steps and utilizing the TAGS framework, you can formulate a specific problem statement that effectively captures the current situation and guides your problem-solving efforts. This structured approach aligns with the principles of the Fortive Business System and sets the stage for successful resolution of the identified issue.
If you need further assistance in refining your problem statement or have specific details about your situation that you would like to discuss, feel free to ask! Would you like to explore any particular aspect further?</t>
  </si>
  <si>
    <r>
      <rPr>
        <b/>
        <sz val="10"/>
        <color theme="1"/>
        <rFont val="Century Gothic"/>
        <family val="2"/>
      </rPr>
      <t>P.Lee</t>
    </r>
    <r>
      <rPr>
        <sz val="10"/>
        <color theme="1"/>
        <rFont val="Century Gothic"/>
        <family val="2"/>
      </rPr>
      <t xml:space="preserve">
It is correct, but analyzing the prompt it seems like it is asking for guidance, it is correct to provide the how to do it, maybe helpful to ask what is the situation?  Provide and ask the question what is the target you are trying to achieve?  where are you currently at?   How long has this been occuring? etc</t>
    </r>
    <r>
      <rPr>
        <sz val="10"/>
        <color theme="1"/>
        <rFont val="Century Gothic"/>
        <family val="2"/>
      </rPr>
      <t xml:space="preserve">
</t>
    </r>
    <r>
      <rPr>
        <b/>
        <sz val="10"/>
        <color theme="1"/>
        <rFont val="Century Gothic"/>
        <family val="2"/>
      </rPr>
      <t xml:space="preserve">
TAGS</t>
    </r>
    <r>
      <rPr>
        <sz val="10"/>
        <color theme="1"/>
        <rFont val="Century Gothic"/>
        <family val="2"/>
      </rPr>
      <t>:  TREND, ACTUAL, GAP, STANDARD</t>
    </r>
  </si>
  <si>
    <t>How can I ensure that my problem statement is clear and concise?</t>
  </si>
  <si>
    <t>Ensuring that your problem statement is clear and concise is crucial for effective problem-solving within the Fortive Business System (FBS) and the Problem Solving Process (PSP). A well-defined problem statement helps guide the analysis and actions needed to address the issue. Here are key steps and considerations to help you formulate a clear and concise problem statement:
### 1. **Use the TAGS Framework**
   - **Action**: Structure your problem statement using the TAGS framework, which stands for Target, Actual, Gap, and Scope. This framework helps ensure that all critical elements are included.
   - **Example**:
     - **Target**: 95% on-time delivery
     - **Actual**: 80% on-time delivery
     - **Gap**: 15%
     - **Scope**: Production line A for the last quarter.
   - **Problem Statement**: "Production line A is currently achieving 80% on-time delivery, which is 15% below the target of 95%."
### 2. **Be Specific and Focused**
   - **Action**: Avoid vague language and ensure that your statement is specific about the issue at hand. Focus on one problem at a time to prevent confusion.
   - **Example**: Instead of saying "We have quality issues," specify "The defect rate for product X has increased to 10% over the last month."
### 3. **Define the Impact**
   - **Action**: Clearly articulate the impact of the problem on the organization, customers, or processes. This helps convey the urgency and importance of addressing the issue.
   - **Example**: "The 15% gap in on-time delivery is resulting in increased customer complaints and potential loss of revenue."
### 4. **Keep It Concise**
   - **Action**: Aim for brevity while ensuring that all necessary information is included. A concise statement is easier to understand and communicate.
   - **Example**: "Production line A is achieving 80% on-time delivery, 15% below the target, leading to customer dissatisfaction."
### 5. **Use Clear Language**
   - **Action**: Avoid jargon or technical terms that may not be understood by all stakeholders. Use straightforward language that is accessible to everyone involved.
   - **Example**: Instead of using technical terms like "OEE" (Overall Equipment Effectiveness), you might say "The efficiency of the production line is lower than expected."
### 6. **Validate with Stakeholders**
   - **Action**: Share your problem statement with team members or stakeholders to ensure clarity and gather feedback. This collaborative approach can help refine the statement.
   - **Example**: Present the problem statement in a team meeting and ask for input on whether it accurately reflects the issue.
### 7. **Iterate as Necessary**
   - **Action**: Be open to revising the problem statement based on feedback and new insights. The problem may evolve as you gather more information.
   - **Example**: If new data reveals additional factors contributing to the problem, update the statement to reflect this broader understanding.
### Conclusion
By following these steps and utilizing the TAGS framework, you can create a clear and concise problem statement that effectively captures the essence of the issue. This structured approach aligns with the principles of the Fortive Business System and sets the stage for successful resolution of the identified problem.
If you need further assistance in refining your problem statement or have specific details about your situation that you would like to discuss, feel free to ask! Would you like to explore any particular aspect further?</t>
  </si>
  <si>
    <t>P.Lee
TAGS:  TREND, ACTUAL, GAP, STANDARD</t>
  </si>
  <si>
    <t>What metrics should I use to define the success criteria for this problem?</t>
  </si>
  <si>
    <t>Defining success criteria through appropriate metrics is essential for evaluating the effectiveness of solutions implemented during the Problem Solving Process (PSP) within the Fortive Business System (FBS). The metrics you choose should align with the specific problem you are addressing and the goals you aim to achieve. Here’s a comprehensive guide on selecting metrics for defining success criteria:
### 1. **Identify the Problem and Objectives**
   - **Action**: Clearly define the problem you are addressing and the objectives you want to achieve. This will guide the selection of relevant metrics.
   - **Example**: If the problem is related to production delays, your objective might be to improve on-time delivery rates.
### 2. **Select Relevant Metrics**
   - **Action**: Choose metrics that directly reflect the performance related to the problem and objectives. Here are some common metrics to consider based on different scenarios:
#### For Production and Operational Efficiency
- **On-Time Delivery Rate**: Measures the percentage of products delivered on time compared to the total number of deliveries.
  - **Formula**: (Number of On-Time Deliveries / Total Deliveries) x 100
  - **Example**: Target an on-time delivery rate of 95%.
- **Cycle Time**: The total time taken to complete a process from start to finish. Reducing cycle time can indicate improved efficiency.
  - **Example**: Aim to reduce cycle time from 10 hours to 8 hours per unit.
- **Overall Equipment Effectiveness (OEE)**: A measure of how effectively a manufacturing operation is utilized compared to its full potential.
  - **Formula**: OEE = Availability x Performance x Quality
  - **Example**: Target an OEE of 85%.
#### For Quality Improvement
- **Defect Rate**: The percentage of products that do not meet quality standards.
  - **Formula**: (Number of Defective Products / Total Products Produced) x 100
  - **Example**: Aim to reduce the defect rate from 5% to 2%.
- **Customer Satisfaction Score (CSAT)**: A measure of customer satisfaction with the product or service.
  - **Example**: Target a CSAT score of 90% or higher.
#### For Financial Impact
- **Cost Savings**: Measure the reduction in costs resulting from improvements.
  - **Example**: Calculate the cost savings achieved through reduced waste or improved efficiency.
- **Revenue Growth**: Assess the increase in revenue as a result of improved processes or customer satisfaction.
  - **Example**: Target a revenue increase of 10% over the next quarter.
### 3. **Establish Baselines**
   - **Action**: Determine baseline values for each metric before implementing changes. This will allow you to measure improvement effectively.
   - **Example**: If the current on-time delivery rate is 80%, this will serve as your baseline for comparison after implementing improvements.
### 4. **Set Targets**
   - **Action**: Define specific, measurable targets for each metric that reflect the desired outcomes.
   - **Example**: Set a target to achieve a 15% improvement in on-time delivery rates within three months.
### 5. **Monitor and Review**
   - **Action**: Continuously monitor the selected metrics after implementing changes. Regularly review performance against the established targets to assess success.
   - **Example**: Conduct monthly reviews of on-time delivery rates and cycle times to track progress.
### Conclusion
By selecting relevant metrics that align with your problem and objectives, establishing baselines, and setting clear targets, you can effectively define success criteria for your problem-solving efforts. This structured approach will help ensure that you can measure the impact of your actions and make data-driven decisions within the Fortive Business System.
If you need further assistance in selecting specific metrics for your situation or have questions about how to implement this process, feel free to ask! Would you like to explore any particular aspect further?</t>
  </si>
  <si>
    <r>
      <rPr>
        <b/>
        <u/>
        <sz val="10"/>
        <color theme="1"/>
        <rFont val="Century Gothic"/>
        <family val="2"/>
      </rPr>
      <t>Plee</t>
    </r>
    <r>
      <rPr>
        <sz val="10"/>
        <color theme="1"/>
        <rFont val="Century Gothic"/>
        <family val="2"/>
      </rPr>
      <t xml:space="preserve">
not completely accurate, it makes sense to provide some examples of the metrics depending on the problem.  I think a better answer should indicate something about Leading and Lagging indicators.   Need to track both and understand what the relationship is.   Providing feedback to see and understand where the POR - Point of recognition should be close to the Point of occurnece will be helpful.   How can you see the problem early so we are not reactiting and course correcting after the fact.   What are the upstream process conditions that needs to hold true so we can predict the results in the downstream process.</t>
    </r>
  </si>
  <si>
    <t>Are there any common pitfalls to avoid when defining the problem?</t>
  </si>
  <si>
    <t>Defining the problem accurately is a critical step in the Problem Solving Process (PSP) within the Fortive Business System (FBS). A well-defined problem statement sets the stage for effective analysis and solution development. However, there are several common pitfalls to avoid when defining the problem. Here’s a comprehensive overview:
### Common Pitfalls to Avoid When Defining the Problem
1. **Vagueness and Ambiguity**
   - **Issue**: A problem statement that is too vague or ambiguous can lead to confusion and misalignment among team members.
   - **Example**: Saying "We have quality issues" does not specify what the issues are or their impact.
   - **Solution**: Use clear and specific language. For instance, "The defect rate for product X has increased to 10% over the last month" provides clarity.
2. **Lack of Data Support**
   - **Issue**: Defining a problem without supporting data can lead to assumptions rather than facts, making it difficult to understand the true nature of the issue.
   - **Example**: Claiming "Sales are down" without data fails to provide context or insight into the reasons behind the decline.
   - **Solution**: Gather relevant data to support your problem statement. For example, "Sales have decreased by 15% over the last quarter, primarily in the Southeast region."
3. **Ignoring the Scope**
   - **Issue**: Failing to define the scope of the problem can result in addressing symptoms rather than the root cause, leading to ineffective solutions.
   - **Example**: A statement like "Customer complaints are increasing" does not clarify which products or services are affected.
   - **Solution**: Clearly outline the scope. For instance, "Customer complaints regarding product Y have increased by 25% in the last three months."
4. **Overlooking Stakeholder Perspectives**
   - **Issue**: Not considering the perspectives of all relevant stakeholders can lead to an incomplete understanding of the problem.
   - **Example**: Defining a problem based solely on management's viewpoint without input from frontline employees may miss critical insights.
   - **Solution**: Engage with a broad range of stakeholders to gather diverse perspectives. This can be done through interviews, surveys, or focus groups.
5. **Focusing on Symptoms Instead of Root Causes**
   - **Issue**: Defining the problem based on symptoms rather than underlying causes can lead to temporary fixes rather than sustainable solutions.
   - **Example**: Addressing "High employee turnover" without investigating the reasons behind it (e.g., lack of training, poor management) will not resolve the issue.
   - **Solution**: Use tools like the "5 Whys" to drill down to the root causes of the problem.
6. **Setting Unrealistic Expectations**
   - **Issue**: Defining a problem with expectations that are too ambitious or unrealistic can lead to frustration and disengagement from the problem-solving process.
   - **Example**: Stating "We need to eliminate all defects immediately" may not be feasible.
   - **Solution**: Set realistic and achievable goals. For example, "We aim to reduce defects by 50% over the next six months."
7. **Neglecting to Update the Problem Statement**
   - **Issue**: As new information is gathered, failing to update the problem statement can lead to outdated or irrelevant analyses.
   - **Example**: Continuing to work with an initial problem statement that no longer reflects the current situation can misguide efforts.
   - **Solution**: Regularly review and revise the problem statement as new data and insights are obtained.
### Conclusion
By being aware of these common pitfalls and actively working to avoid them, you can ensure that your problem statement is clear, concise, and effective. This will facilitate a more structured and successful problem-solving process within the Fortive Business System, ultimately leading to better outcomes and continuous improvement.
If you have specific scenarios or examples you would like to discuss further, feel free to ask! Would you like to explore any particular aspect in more detail?</t>
  </si>
  <si>
    <t>PLEE:
There are good answers at the beginning but it is going to deep and talking about *Symptoms and Rootcauses**
this has nothing to do with defining the problem since you are still at the DEFINE stage.   There is</t>
  </si>
  <si>
    <t>How do I prioritize multiple problems if they arise simultaneously?</t>
  </si>
  <si>
    <t>Prioritizing multiple problems that arise simultaneously is a critical skill in the Problem Solving Process (PSP) within the Fortive Business System (FBS). Effective prioritization ensures that resources are allocated efficiently and that the most impactful issues are addressed first. Here’s a comprehensive approach to prioritizing problems:
### 1. **Assess the Impact**
   - **Action**: Evaluate the potential impact of each problem on the organization. Consider factors such as customer satisfaction, financial implications, operational efficiency, and employee morale.
   - **Example**: If one problem involves a significant drop in customer satisfaction due to product defects, while another involves minor delays in internal processes, the former should be prioritized due to its direct impact on revenue and reputation.
### 2. **Determine Urgency**
   - **Action**: Identify the urgency of each problem. Some issues may require immediate attention due to deadlines, regulatory compliance, or critical operational needs.
   - **Example**: A safety issue that poses a risk to employees should be addressed immediately, while a process improvement suggestion that can wait may be lower on the priority list.
### 3. **Use the 80/20 Rule (Pareto Principle)**
   - **Action**: Apply the Pareto Principle to identify which problems are likely to yield the greatest benefits when resolved. Focus on the 20% of problems that will lead to 80% of the improvement.
   - **Example**: If three problems are identified, and resolving one of them will eliminate a significant bottleneck affecting multiple processes, prioritize that problem.
### 4. **Engage Stakeholders**
   - **Action**: Involve key stakeholders in the prioritization process. Their insights can provide valuable context and help identify which problems are most critical from different perspectives.
   - **Example**: Conduct a quick survey or meeting with team members to gather input on which issues they believe should be prioritized based on their experiences.
### 5. **Utilize a Prioritization Matrix**
   - **Action**: Create a prioritization matrix that evaluates problems based on criteria such as impact, urgency, and resources required. This visual tool can help clarify priorities.
   - **Example**: Use a simple 2x2 matrix with "High Impact" and "Low Impact" on one axis and "Urgent" and "Not Urgent" on the other. Place each problem in the appropriate quadrant to visualize priorities.
### 6. **Consider Resource Availability**
   - **Action**: Assess the resources available for addressing each problem, including time, personnel, and budget. Prioritize problems that can be resolved with the resources at hand.
   - **Example**: If one problem requires specialized expertise that is currently unavailable, it may need to be deprioritized in favor of issues that can be addressed immediately.
### 7. **Document and Communicate Priorities**
   - **Action**: Once priorities are established, document them clearly and communicate them to all relevant stakeholders. This ensures alignment and understanding of the focus areas.
   - **Example**: Create a simple report or presentation outlining the prioritized problems, the rationale for their prioritization, and the action plan for addressing them.
### 8. **Review and Adjust Regularly**
   - **Action**: Regularly review the prioritization as new information arises or as circumstances change. Be flexible and willing to adjust priorities based on evolving needs.
   - **Example**: If a new urgent issue arises that significantly impacts customer satisfaction, reassess the current priorities and adjust the action plan accordingly.
### Conclusion
By following these steps, you can effectively prioritize multiple problems that arise simultaneously, ensuring that your team focuses on the most critical issues first. This structured approach aligns with the principles of the Fortive Business System and supports continuous improvement efforts.
If you have specific problems you are facing or need further assistance with prioritization, feel free to ask! Would you like to explore any particular aspect further?</t>
  </si>
  <si>
    <t>What are the most effective ways to gather Gemba evidence for my investigation?</t>
  </si>
  <si>
    <t>Gathering Gemba evidence is a crucial step in the Problem Solving Process (PSP) within the Fortive Business System (FBS). Gemba, which means "the real place" in Japanese, emphasizes going to the location where work is done to observe processes and gather firsthand information. Here are the most effective ways to gather Gemba evidence for your investigation:
### 1. **Conduct Gemba Walks**
   - **Action**: Schedule regular Gemba walks where team members visit the actual work area to observe processes in real-time. This allows for direct observation of workflows, interactions, and any issues that may arise.
   - **Example**: If you are investigating production delays, walk the production line during different shifts to observe how work is being performed and identify any bottlenecks or inefficiencies.
### 2. **Engage with Employees**
   - **Action**: Talk to employees who are directly involved in the processes. Their insights can provide valuable context and highlight issues that may not be immediately visible.
   - **Example**: Ask operators about their experiences with equipment, any challenges they face, and suggestions for improvement. This can uncover root causes that may not be apparent from data alone.
### 3. **Use Observation Checklists**
   - **Action**: Develop checklists to guide your observations during Gemba walks. This ensures that you systematically assess key areas and do not overlook important details.
   - **Example**: A checklist might include items such as equipment condition, adherence to standard operating procedures, workflow efficiency, and safety compliance.
### 4. **Collect Quantitative Data**
   - **Action**: Gather quantitative data related to the processes being observed. This can include metrics such as cycle times, defect rates, and throughput.
   - **Example**: Record the time taken for each step in the production process to identify where delays are occurring and quantify the extent of the problem.
### 5. **Document Findings with Visual Evidence**
   - **Action**: Take photographs or videos during your Gemba walks to document the current state of processes. Visual evidence can be compelling in illustrating issues.
   - **Example**: Capture images of equipment setups, workstations, or areas of congestion to provide context for your findings and support your analysis.
### 6. **Analyze Historical Data**
   - **Action**: Review historical data related to the problem to identify trends or recurring issues. This can provide context for your Gemba observations.
   - **Example**: Analyze past production reports to see if there are patterns in downtime or defects that correlate with specific times or conditions.
### 7. **Facilitate Focus Groups or Workshops**
   - **Action**: Organize focus groups or workshops with employees to discuss observations and gather collective insights. This collaborative approach can generate a wealth of information.
   - **Example**: After conducting Gemba walks, hold a session where team members can share their observations and brainstorm potential causes of the identified issues.
### 8. **Utilize Problem-Solving Tools**
   - **Action**: Use tools such as Fishbone Diagrams or the "5 Whys" during your Gemba investigation to systematically analyze potential causes of the problems observed.
   - **Example**: After identifying a problem during your Gemba walk, use the "5 Whys" technique to drill down to the root cause by asking why the problem occurred at each step.
### Conclusion
By employing these effective methods to gather Gemba evidence, you can build a comprehensive understanding of the problem and its root causes. This thorough investigation aligns with the principles of the Fortive Business System and supports the overall goals of continuous improvement.
If you have specific scenarios or need further assistance in gathering Gemba evidence, feel free to ask! Would you like to explore any particular aspect further?</t>
  </si>
  <si>
    <t>Can you help me create a Cause-Effect Fishbone diagram for my problem?</t>
  </si>
  <si>
    <t>Creating a Cause-Effect Fishbone Diagram (also known as an Ishikawa Diagram) is an effective way to visually categorize potential causes of a problem. This tool helps teams brainstorm and organize ideas systematically, allowing for a clearer understanding of the factors contributing to the issue at hand. Here’s a step-by-step guide to creating a Fishbone Diagram for your problem:
### Step 1: Define the Problem Statement
- **Action**: Clearly articulate the problem you are trying to solve. This statement will be placed at the head of the fishbone diagram.
- **Example**: "Increased defect rate in Product X."
### Step 2: Identify Major Categories of Causes
- **Action**: Determine the main categories that will form the "bones" of the fish. Common categories include:
  - **People**: Issues related to staff, training, or communication.
  - **Processes**: Inefficiencies in workflows or procedures.
  - **Equipment**: Problems with machinery or tools.
  - **Materials**: Quality or availability of raw materials.
  - **Environment**: External factors affecting production, such as regulations or market conditions.
- **Example**: For the defect rate in Product X, you might choose the following categories: People, Processes, Equipment, and Materials.
### Step 3: Brainstorm Potential Causes
- **Action**: Gather your team and brainstorm potential causes for the problem under each category. Encourage open discussion and capture all ideas.
- **Example**:
  - **People**: Lack of training, insufficient staffing, poor communication.
  - **Processes**: Inefficient workflow, lack of quality checks, unclear procedures.
  - **Equipment**: Outdated machinery, lack of maintenance, frequent breakdowns.
  - **Materials**: Low-quality raw materials, supply chain issues, incorrect specifications.
### Step 4: Organize Causes into the Diagram
- **Action**: Draw the Fishbone Diagram. Start with a horizontal line (the spine) and place the problem statement at the head. Draw diagonal lines (the bones) for each major category, and list the potential causes branching off from these lines.
- **Example**:
```
                     Increased Defect Rate in Product X
                                 |
        -------------------------------------------------
        |                |                |              |
     People         Processes        Equipment       Materials
        |                |                |              |
   Lack of training   Inefficient      Outdated        Low-quality
   Insufficient       workflow         machinery       raw materials
   staffing           Lack of quality  Lack of         Supply chain
                     checks            maintenance      issues
```
### Step 5: Analyze the Diagram
- **Action**: Review the completed Fishbone Diagram with your team. Discuss which causes are most likely contributing to the problem and prioritize them for further investigation.
- **Example**: If "Lack of training" and "Outdated machinery" are identified as critical causes, these should be the focus of your next steps in the problem-solving process.
### Step 6: Document and Communicate
- **Action**: Document the Fishbone Diagram and share it with relevant stakeholders. This ensures that everyone is aligned on the identified causes and the next steps for investigation.
- **Example**: Create a digital version of the diagram using tools like Microsoft Visio, Lucidchart, or even PowerPoint, and distribute it to the team.
### Conclusion
By following these steps, you can effectively create a Cause-Effect Fishbone Diagram that helps identify and categorize potential causes of your problem. This structured approach aligns with the principles of the Fortive Business System and supports the overall goals of continuous improvement.
If you need further assistance in creating the diagram or have specific details about your problem that you would like to discuss, feel free to ask! Would you like to explore any particular aspect further?</t>
  </si>
  <si>
    <r>
      <rPr>
        <b/>
        <sz val="10"/>
        <color theme="1"/>
        <rFont val="Century Gothic"/>
        <family val="2"/>
      </rPr>
      <t>P.Lee</t>
    </r>
    <r>
      <rPr>
        <sz val="10"/>
        <color theme="1"/>
        <rFont val="Century Gothic"/>
        <family val="2"/>
      </rPr>
      <t xml:space="preserve">
it is asking to put together a fishbone diagram.  Did we have that capability?  This is providing an example.    Can we load something and it synthesizes it? 
</t>
    </r>
  </si>
  <si>
    <t>How do I determine the top categories for my Pareto analysis?</t>
  </si>
  <si>
    <t>To perform Pareto analysis, I need you to upload a data file. Please provide a file in Excel (.xlsx) or CSV format containing your data.
        Once you upload the file, I can help analyze it and generate the Pareto chart based on your problem-solving requirements.</t>
  </si>
  <si>
    <t>P.Lee:
Correct since there's no context.   I think this is a place where additional info could be helpful that they need to pick the Pareto that has the first 2-3 to be &gt; than 80% of the gap to provide additional guidance</t>
  </si>
  <si>
    <t>What are the key indicators I should look for in my data during the investigation?</t>
  </si>
  <si>
    <t>When investigating a problem within the Fortive Business System (FBS) using the Problem Solving Process (PSP), it is essential to identify key indicators in your data that can provide insights into the nature of the problem and its underlying causes. Here are the key indicators to look for during your investigation:
### 1. **Performance Metrics**
   - **Action**: Analyze relevant performance metrics that directly relate to the problem you are investigating. These metrics can help quantify the extent of the issue.
   - **Example**: If you are investigating production delays, key performance metrics might include:
     - **On-Time Delivery Rate**: Percentage of products delivered on time.
     - **Cycle Time**: Average time taken to complete a production cycle.
     - **Overall Equipment Effectiveness (OEE)**: A measure of how effectively a manufacturing operation is utilized.
### 2. **Trend Analysis**
   - **Action**: Look for trends over time in your data. Identifying patterns can help you understand whether the problem is worsening, improving, or stable.
   - **Example**: Use run charts to visualize trends in defect rates or production efficiency over the past months. A rising trend in defects may indicate a systemic issue that needs addressing.
### 3. **Frequency of Issues**
   - **Action**: Determine how often specific issues occur. This can help prioritize which problems to address based on their frequency and impact.
   - **Example**: If you are tracking customer complaints, categorize them by type and count how many times each type occurs. This can help identify the most common issues affecting customer satisfaction.
### 4. **Root Cause Indicators**
   - **Action**: Identify indicators that point to potential root causes of the problem. This may involve analyzing data related to processes, equipment, or personnel.
   - **Example**: If equipment failures are suspected, track:
     - **Maintenance Records**: Frequency of maintenance performed versus breakdown incidents.
     - **Operator Training Records**: Correlate training levels with incident reports to see if lack of training is a contributing factor.
### 5. **Customer Feedback**
   - **Action**: Analyze qualitative data from customer feedback, surveys, or interviews. This can provide insights into customer perceptions and expectations.
   - **Example**: If customers report dissatisfaction with product quality, categorize feedback to identify specific areas of concern, such as durability or functionality.
### 6. **Cost Implications**
   - **Action**: Assess the financial impact of the problem by analyzing cost-related data. Understanding the cost implications can help prioritize issues based on their economic impact.
   - **Example**: Calculate the cost of defects, including rework, returns, and lost sales. If defects are costing the company significantly, this issue should be prioritized.
### 7. **Comparative Analysis**
   - **Action**: Compare your data against benchmarks or standards to identify gaps. This can help highlight areas that require improvement.
   - **Example**: Compare your production efficiency against industry standards or historical performance data to identify discrepancies.
### 8. **Employee Insights**
   - **Action**: Gather insights from employees who are directly involved in the processes. Their firsthand experience can provide valuable context and highlight issues that may not be captured in data alone.
   - **Example**: Conduct interviews or focus groups with team members to discuss their observations regarding workflow inefficiencies or equipment issues.
### Conclusion
By focusing on these key indicators during your investigation, you can gain a comprehensive understanding of the problem and its root causes. This structured approach aligns with the principles of the Fortive Business System and supports effective problem resolution.
If you have specific data or scenarios you would like to discuss further, feel free to ask! Would you like to explore any particular aspect in more detail?</t>
  </si>
  <si>
    <t>Plee</t>
  </si>
  <si>
    <t>How can I validate the data I collect during the investigation phase?</t>
  </si>
  <si>
    <t>Validating the data collected during the investigation phase of the Problem Solving Process (PSP) is crucial for ensuring that your findings are accurate and reliable. This validation helps to confirm that the data truly reflects the situation and can guide effective decision-making. Here’s a comprehensive approach to validating your data:
### 1. **Cross-Verification with Multiple Sources**
   - **Action**: Compare the data collected from different sources to ensure consistency. This can help identify discrepancies and validate the accuracy of the information.
   - **Example**: If you are collecting data on production downtime, cross-check the downtime logs with maintenance records and employee reports to ensure they align.
### 2. **Engage Stakeholders for Feedback**
   - **Action**: Involve key stakeholders, including team members and subject matter experts, to review the data. Their insights can provide context and help identify any potential errors or biases.
   - **Example**: Present your findings to the production team and ask for their input on the data collected regarding equipment failures. They may provide additional context or corrections based on their experiences.
### 3. **Use Statistical Analysis**
   - **Action**: Apply statistical methods to analyze the data for trends, outliers, or anomalies. This can help confirm the reliability of the data and identify any patterns that warrant further investigation.
   - **Example**: If you notice a spike in defect rates, use statistical tools to analyze whether this is a significant deviation from historical data or a normal fluctuation.
### 4. **Conduct a Pilot Test**
   - **Action**: If applicable, conduct a small-scale pilot test to validate the data and assumptions before implementing broader changes. This allows you to see if the data holds true in a controlled environment.
   - **Example**: If you are testing a new process to reduce defects, implement it on a small batch of products first and compare the defect rates to historical data.
### 5. **Document Assumptions and Limitations**
   - **Action**: Clearly document any assumptions made during data collection and analysis, as well as any limitations of the data. This transparency helps in understanding the context of the findings.
   - **Example**: If your data is based on a limited time frame or specific conditions, note this in your report to provide context for the results.
### 6. **Review Historical Data**
   - **Action**: Compare the current data with historical data to assess trends and validate findings. This can help identify whether the current situation is an anomaly or part of a larger trend.
   - **Example**: If you are investigating an increase in customer complaints, review historical complaint data to see if this is a recurring issue or a recent development.
### 7. **Utilize Visual Tools**
   - **Action**: Use visual tools such as charts and graphs to present the data clearly. Visual representations can help identify patterns and validate findings more effectively than raw data alone.
   - **Example**: Create a run chart to visualize defect rates over time, making it easier to spot trends and validate the data against expectations.
### 8. **Seek External Validation**
   - **Action**: If possible, seek validation from external sources or industry benchmarks. This can provide a broader context for your findings and help confirm their validity.
   - **Example**: Compare your production efficiency metrics with industry standards to see if your data aligns with broader trends in your sector.
### Conclusion
By following these steps, you can effectively validate the data collected during the investigation phase of the PSP. This thorough validation process ensures that your findings are accurate and reliable, ultimately leading to more informed decision-making and successful problem resolution within the Fortive Business System.
If you have specific data or scenarios you would like to discuss further, feel free to ask! Would you like to explore any particular aspect in more detail?</t>
  </si>
  <si>
    <t>P.Lee
these seems like generic answers. Where are they referencing the info"</t>
  </si>
  <si>
    <t>What criteria should I use to evaluate the effectiveness of my countermeasures?</t>
  </si>
  <si>
    <t>Evaluating the effectiveness of countermeasures is a critical step in the Problem Solving Process (PSP) within the Fortive Business System (FBS). Proper evaluation ensures that the implemented solutions are achieving the desired outcomes and contributing to continuous improvement. Here are key criteria to consider when assessing the effectiveness of your countermeasures:
### 1. **Alignment with Objectives**
   - **Action**: Ensure that the countermeasures directly address the objectives set during the problem definition phase. They should be designed to close the gap between the current state (Actual) and the desired state (Standard).
   - **Example**: If the objective was to reduce defect rates by 20%, evaluate whether the countermeasures implemented are specifically targeting the root causes of defects.
### 2. **Quantifiable Metrics**
   - **Action**: Use specific, measurable metrics to assess the impact of the countermeasures. This allows for objective evaluation of their effectiveness.
   - **Example**: Track metrics such as defect rates, cycle times, on-time delivery percentages, or customer satisfaction scores before and after implementing the countermeasures.
### 3. **Statistical Analysis**
   - **Action**: Apply statistical methods to analyze the data collected. This can help determine whether observed changes are statistically significant and not due to random variation.
   - **Example**: Use control charts to monitor process performance over time and identify whether the countermeasures have led to sustained improvements.
### 4. **Feedback from Stakeholders**
   - **Action**: Gather qualitative feedback from employees, customers, and other stakeholders involved in or affected by the changes. Their insights can provide context to the data and highlight areas for further improvement.
   - **Example**: Conduct surveys or hold focus groups to understand how the changes have impacted workflow, efficiency, and customer satisfaction.
### 5. **Sustainability of Improvements**
   - **Action**: Assess whether the improvements achieved through the countermeasures are sustainable over time. This involves monitoring the metrics regularly to ensure that performance does not revert to previous levels.
   - **Example**: After implementing a new quality control process, continue to track defect rates for several months to confirm that the improvements are maintained.
### 6. **Cost-Benefit Analysis**
   - **Action**: Evaluate the cost-effectiveness of the countermeasures. Consider both the costs of implementing the changes and the benefits gained from improved performance.
   - **Example**: If a new training program was implemented to reduce defects, analyze the costs of the training against the savings from reduced rework and improved quality.
### 7. **Root Cause Verification**
   - **Action**: Revisit the root causes identified during the investigation phase to ensure that the countermeasures effectively address these causes.
   - **Example**: If a countermeasure was implemented to improve equipment maintenance, verify that the previous issues related to equipment failure have been resolved.
### 8. **Documentation and Reporting**
   - **Action**: Document the evaluation process and results. This provides a record of what was done, what worked, and what did not, which is valuable for future problem-solving efforts.
   - **Example**: Create a report summarizing the metrics, stakeholder feedback, and any adjustments made based on the evaluation of the countermeasures.
### Conclusion
By using these criteria to evaluate the effectiveness of your countermeasures, you can ensure that your problem-solving efforts are aligned with the goals of the Fortive Business System. This structured approach not only helps in assessing current initiatives but also supports continuous improvement and the delivery of extraordinary results.
If you have specific countermeasures or scenarios you would like to discuss further, feel free to ask! Would you like to explore any particular aspect in more detail?</t>
  </si>
  <si>
    <t>P.Lee
a lot of generic answers - it correct answer should be -the outcome of the CM is resloving the gap at the timeline that they have established, if they are off track, then need to understand why thru their DM.   other indirect to answers to make them successful, is that they should ensure that they have the resources to work on the CM, visibility of leading and lagging indicators and a DM to discuss the issues and problem solve</t>
  </si>
  <si>
    <t>How can I design an experiment to test the proposed solutions?</t>
  </si>
  <si>
    <t>Designing an experiment to test proposed solutions is a crucial step in the Problem Solving Process (PSP) within the Fortive Business System (FBS). This structured approach allows you to validate the effectiveness of your solutions before full-scale implementation. Here’s a comprehensive guide on how to design an effective experiment:
### Step 1: Define the Objective of the Experiment
- **Action**: Clearly articulate what you aim to achieve with the experiment. This should align with the problem statement and the proposed solutions.
- **Example**: If the proposed solution is to implement a new training program for operators to reduce defects, the objective might be: "To determine if the new training program reduces the defect rate by at least 20%."
### Step 2: Formulate a Hypothesis
- **Action**: Develop a hypothesis that you will test through the experiment. This should be a clear statement predicting the expected outcome.
- **Example**: "Implementing the new training program will lead to a reduction in the defect rate from 5% to 4% within three months."
### Step 3: Identify Key Variables
- **Action**: Determine the independent variable (the factor you will change) and the dependent variable (the outcome you will measure).
- **Example**:
  - **Independent Variable**: The implementation of the new training program.
  - **Dependent Variable**: The defect rate of products produced.
### Step 4: Select the Experimental Design
- **Action**: Choose an appropriate experimental design. Common designs include:
  - **Control Group**: Compare results from a group that receives the intervention (training) with a control group that does not.
  - **Before-and-After Study**: Measure the defect rate before and after the training program is implemented.
- **Example**: Use a control group of operators who do not receive the training and compare their defect rates to those who do.
### Step 5: Develop a Data Collection Plan
- **Action**: Outline how you will collect data during the experiment. Specify the metrics you will track and the timeframe for data collection.
- **Example**: Collect data on defect rates weekly for three months after the training program is implemented. Use the following metrics:
  - Number of defects per 100 units produced.
  - Feedback from operators on the training effectiveness.
### Step 6: Implement the Experiment
- **Action**: Execute the experiment according to your plan. Ensure that all team members involved understand their roles and responsibilities.
- **Example**: Conduct the training sessions for the experimental group while maintaining regular production schedules.
### Step 7: Analyze the Results
- **Action**: After the experiment, analyze the data collected to determine whether the hypothesis was supported. Use statistical methods to assess the significance of the results.
- **Example**: Compare the defect rates of the trained group against the control group and the baseline data. Use statistical tests (e.g., t-tests) to evaluate if the differences are significant.
### Step 8: Document Findings and Conclusions
- **Action**: Document the results of the experiment, including any observations, challenges faced, and insights gained. Summarize whether the proposed solution was effective.
- **Example**: "The defect rate in the trained group decreased to 3.5%, which is statistically significant compared to the control group’s rate of 5%. This supports the hypothesis that the training program is effective."
### Step 9: Plan Next Steps
- **Action**: Based on the findings, determine the next steps. This may include full implementation of the solution, further testing, or adjustments to the proposed solution.
- **Example**: If the training program is effective, plan to roll it out to all operators and consider additional training sessions on related topics.
### Conclusion
By following these steps, you can design a robust experiment to test your proposed solutions effectively. This structured approach aligns with the principles of the Fortive Business System and supports continuous improvement efforts.
If you have specific solutions you want to test or need further assistance in designing your experiment, feel free to ask! Would you like to explore any particular aspect further?</t>
  </si>
  <si>
    <t>What are the best practices for documenting the results of my verification process?</t>
  </si>
  <si>
    <t>Documenting the results of your verification process is a crucial step in the Problem Solving Process (PSP) within the Fortive Business System (FBS). Proper documentation not only provides a record of what was done but also facilitates communication, learning, and continuous improvement. Here are best practices for effectively documenting the results of your verification process:
### 1. **Use a Structured Format**
   - **Action**: Organize your documentation in a clear and structured format. This could be in the form of a report, presentation, or a dedicated section in your Problem Solving Report (PSR).
   - **Example**: Create sections for the problem statement, verification objectives, methods used, results, analysis, and conclusions.
### 2. **Clearly State the Verification Objectives**
   - **Action**: Begin your documentation by clearly stating the objectives of the verification process. This sets the context for the results that follow.
   - **Example**: "The objective of this verification process was to assess the effectiveness of the new training program in reducing the defect rate from 5% to 3%."
### 3. **Detail the Methods Used**
   - **Action**: Document the methods and tools used during the verification process. This includes any data collection techniques, statistical analyses, or tools employed.
   - **Example**: "Data was collected through a combination of pre- and post-training defect rate analysis, using control charts to monitor performance over a three-month period."
### 4. **Present Results Clearly**
   - **Action**: Clearly present the results of the verification process using tables, charts, or graphs where applicable. Visual representations can enhance understanding and highlight key findings.
   - **Example**: Include a bar chart comparing defect rates before and after the training program, showing a decrease from 5% to 2.5%.
### 5. **Analyze the Results**
   - **Action**: Provide a thorough analysis of the results, discussing whether the verification objectives were met and what the data indicates about the effectiveness of the implemented solutions.
   - **Example**: "The results indicate that the training program was effective, as the defect rate decreased significantly to 2.5%, surpassing the target of 3%."
### 6. **Include Stakeholder Feedback**
   - **Action**: Document any qualitative feedback received from stakeholders during the verification process. This can provide additional context and insights into the effectiveness of the solutions.
   - **Example**: "Feedback from operators indicated that the training improved their confidence in using the equipment, contributing to the reduction in defects."
### 7. **Outline Next Steps**
   - **Action**: Based on the results and analysis, outline any recommended next steps or actions to be taken. This could include further training, adjustments to processes, or additional monitoring.
   - **Example**: "It is recommended to implement refresher training sessions every six months to maintain the improvements in defect rates."
### 8. **Maintain a Record for Future Reference**
   - **Action**: Ensure that all documentation is stored in a centralized location accessible to relevant stakeholders. This allows for easy reference in future problem-solving efforts.
   - **Example**: Save the verification report in a shared drive or project management tool where team members can access it.
### 9. **Review and Revise Documentation**
   - **Action**: Regularly review and update the documentation as new information becomes available or as processes change. This ensures that the documentation remains relevant and useful.
   - **Example**: After implementing additional improvements based on the verification results, update the report to reflect these changes and their impacts.
### Conclusion
By following these best practices for documenting the results of your verification process, you can create a comprehensive and effective record that supports continuous improvement within the Fortive Business System. This structured approach not only enhances communication but also contributes to a culture of learning and accountability.
If you have specific aspects of the verification process you would like to discuss further or need assistance with documentation, feel free to ask! Would you like to explore any particular area in more detail?</t>
  </si>
  <si>
    <t>P.Lee
These sounds like generic answers.  Could reference the PSP deck and use the VERIFY watchouts might be a better guidance.  
"Do the countermeasures address the root cause?
Do the countermeasures close the gap?
What are the riskiest parts of the countermeasures? 
 What experiments are being used to reduce risk?
Are the experiments thoughtful and have a clear hypothesis that is being tested?
Are we being scrappy and urgent in getting them done?
Are we implementing with urgency countermeasures for which risk has bene reduced?</t>
  </si>
  <si>
    <t>How do I ensure that the countermeasures are aligned with the root causes identified?</t>
  </si>
  <si>
    <t>Ensuring that countermeasures are aligned with the root causes identified is a critical step in the Problem Solving Process (PSP) within the Fortive Business System (FBS). Proper alignment helps to effectively address the issues at hand and leads to sustainable improvements. Here’s a comprehensive approach to achieving this alignment:
### 1. **Review Root Cause Analysis**
   - **Action**: Begin by thoroughly reviewing the root causes identified during the investigation phase. Ensure that the analysis is well-documented and supported by evidence gathered from Gemba observations.
   - **Example**: If the root cause analysis revealed that equipment failures were due to inadequate maintenance practices, this should be clearly documented and understood by the team.
### 2. **Develop Targeted Countermeasures**
   - **Action**: When developing countermeasures, ensure that each one directly addresses a specific root cause. This targeted approach increases the likelihood of effectively resolving the problem.
   - **Example**: If a root cause is identified as "lack of preventive maintenance," a corresponding countermeasure could be to implement a scheduled maintenance program.
### 3. **Utilize the 5 Whys Technique**
   - **Action**: Use the "5 Whys" technique to validate that the proposed countermeasures address the root causes. For each root cause, ask "why" the countermeasure will resolve it.
   - **Example**:
     - **Root Cause**: Lack of preventive maintenance.
     - **Countermeasure**: Implement a preventive maintenance schedule.
     - **Why will this work?**: Because regular maintenance will reduce the likelihood of equipment failures.
### 4. **Engage Stakeholders in the Development Process**
   - **Action**: Involve team members and stakeholders in brainstorming and developing countermeasures. Their insights can help ensure that the solutions are practical and directly related to the identified root causes.
   - **Example**: Conduct a workshop with operators and maintenance staff to discuss potential countermeasures for the identified root causes, ensuring their input is considered.
### 5. **Create a Mapping Document**
   - **Action**: Develop a mapping document that links each root cause to its corresponding countermeasure. This visual representation can help clarify the relationships and ensure alignment.
   - **Example**:
     - **Root Cause**: Inadequate training on equipment.
     - **Countermeasure**: Develop and implement a comprehensive training program for operators.
### 6. **Pilot Testing of Countermeasures**
   - **Action**: Before full implementation, consider conducting a pilot test of the countermeasures to evaluate their effectiveness in addressing the root causes.
   - **Example**: Implement the preventive maintenance schedule on a single production line and monitor its impact on equipment failures before rolling it out company-wide.
### 7. **Monitor and Measure Effectiveness**
   - **Action**: After implementing the countermeasures, continuously monitor relevant metrics to assess their effectiveness in addressing the root causes.
   - **Example**: Track equipment failure rates and maintenance compliance to see if the new preventive maintenance program leads to a reduction in breakdowns.
### 8. **Document and Communicate Findings**
   - **Action**: Document the alignment between root causes and countermeasures, as well as the results of any monitoring efforts. Communicate these findings to all relevant stakeholders to ensure transparency and buy-in.
   - **Example**: Create a report summarizing the root causes, corresponding countermeasures, and the results of the pilot test, sharing it with the team and management.
### Conclusion
By following these steps, you can ensure that your countermeasures are effectively aligned with the root causes identified during the investigation phase. This alignment is essential for achieving sustainable improvements and delivering extraordinary results within the Fortive Business System.
If you have specific root causes or countermeasures you would like to discuss further, feel free to ask! Would you like to explore any particular aspect in more detail?</t>
  </si>
  <si>
    <t>P.Lee
We</t>
  </si>
  <si>
    <t>What should I do if the countermeasures do not yield the expected results?</t>
  </si>
  <si>
    <t>If the countermeasures implemented during the Problem Solving Process (PSP) within the Fortive Business System (FBS) do not yield the expected results, it is essential to take a systematic approach to reassess and adjust your strategies. Here’s a comprehensive guide on what to do in such situations:
### 1. **Review the Problem Statement and Objectives**
   - **Action**: Revisit the original problem statement and the objectives set for the countermeasures. Ensure that they are still relevant and accurately reflect the issue at hand.
   - **Example**: If the problem was defined as "increased defect rates," confirm that the objectives were specific and measurable, such as reducing defects by 20%.
### 2. **Analyze Data and Results**
   - **Action**: Collect and analyze data related to the countermeasures to understand why they did not produce the desired outcomes. Look for trends, patterns, and anomalies.
   - **Example**: If the defect rate did not decrease as expected, analyze production logs, quality control reports, and any relevant metrics to identify discrepancies.
### 3. **Engage Stakeholders for Feedback**
   - **Action**: Involve team members and stakeholders in discussing the results. Their insights can provide valuable context and highlight areas that may have been overlooked.
   - **Example**: Conduct a meeting with operators and quality assurance personnel to gather their observations on the countermeasures and any challenges they faced during implementation.
### 4. **Conduct Root Cause Analysis Again**
   - **Action**: Reassess the root causes identified earlier. Use tools like the "5 Whys" or Fishbone Diagram to explore whether the initial analysis was thorough and accurate.
   - **Example**: If equipment failure was identified as a root cause, investigate whether the countermeasure (e.g., preventive maintenance) was implemented correctly and consistently.
### 5. **Identify Additional Factors**
   - **Action**: Consider external factors or changes in the environment that may have influenced the results. This could include market conditions, changes in customer expectations, or internal organizational changes.
   - **Example**: If a new product was launched during the same period, assess whether this impacted the defect rates or production processes.
### 6. **Adjust Countermeasures**
   - **Action**: Based on the analysis and feedback, modify the countermeasures to better address the root causes. This may involve refining existing solutions or implementing new ones.
   - **Example**: If the training program was insufficient, consider enhancing it with additional modules or hands-on practice to ensure operators are fully equipped to prevent defects.
### 7. **Implement a Pilot Test**
   - **Action**: Before rolling out revised countermeasures on a larger scale, conduct a pilot test to evaluate their effectiveness in a controlled environment.
   - **Example**: Implement the adjusted training program with a small group of operators and monitor defect rates closely to assess improvements.
### 8. **Monitor and Measure Again**
   - **Action**: After implementing adjustments, continue to monitor the relevant metrics to evaluate the effectiveness of the new countermeasures.
   - **Example**: Track defect rates over the next few months to determine if the changes lead to the desired improvements.
### 9. **Document and Communicate Findings**
   - **Action**: Document the entire process, including the initial countermeasures, the analysis of why they failed, the adjustments made, and the results of the new approach. Share this information with all relevant stakeholders.
   - **Example**: Create a report summarizing the findings and adjustments, and present it in a team meeting to ensure everyone is informed and aligned.
### 10. **Foster a Culture of Continuous Improvement**
   - **Action**: Encourage a mindset of continuous improvement within the team. Emphasize that setbacks are opportunities for learning and growth.
   - **Example**: Celebrate small wins and encourage team members to share their insights and suggestions for further improvements.
### Conclusion
By following these steps, you can effectively address situations where countermeasures do not yield the expected results. This structured approach aligns with the principles of the Fortive Business System and supports ongoing improvement efforts, ultimately leading to better outcomes and enhanced performance.
If you have specific countermeasures or scenarios you would like to discuss further, feel free to ask! Would you like to explore any particular aspect in more detail?</t>
  </si>
  <si>
    <t>What strategies can I implement to maintain the improvements over time?</t>
  </si>
  <si>
    <t xml:space="preserve">PLEE
This is very generic, as in very theoretical.  There's not mention of making sure if the process is still relevant that it needs to incorportated or have a </t>
  </si>
  <si>
    <t>How can I create a feedback loop to continuously monitor the effectiveness of the solutions?</t>
  </si>
  <si>
    <t>Creating a feedback loop to continuously monitor the effectiveness of solutions is essential for sustaining improvements and ensuring that the Problem Solving Process (PSP) delivers extraordinary results. Here’s a structured approach based on the Fortive Business System (FBS) principles:
### 1. Establish Clear Metrics
- **Define Success Criteria**: Identify specific, measurable outcomes that indicate the effectiveness of the implemented solutions. For example, if the solution addresses production downtime, metrics could include Overall Equipment Effectiveness (OEE) or Mean Time to Repair (MTTR).
- **Baseline Measurement**: Before implementing solutions, gather baseline data to understand the current performance level.
### 2. Implement Continuous Monitoring
- **Regular Data Collection**: Set up a system for ongoing data collection related to the defined metrics. This could involve automated reporting tools or manual tracking systems.
- **Daily Management**: Utilize daily management practices to review performance metrics regularly. This aligns with FBS principles of managing and measuring work effectively.
### 3. Analyze Feedback
- **Root Cause Analysis**: If metrics indicate that the solution is not performing as expected, conduct a root cause analysis to identify underlying issues. This is a critical step in the PSP to ensure that problems are addressed at their source.
- **Voice of the Customer (VOC)**: Incorporate feedback from stakeholders, including customers and team members, to assess the perceived effectiveness of the solutions. This can provide qualitative insights that metrics alone may not reveal.
### 4. Adjust and Improve
- **Kaizen Events**: Organize kaizen events focused on continuous improvement based on the feedback gathered. These time-bound improvement initiatives can help refine processes and solutions.
- **Iterative Process**: Treat the feedback loop as an iterative process. Use the insights gained to make necessary adjustments to the solutions, and then monitor the impact of these changes.
### 5. Document and Share Learnings
- **Standard Work**: Update standard work documents to reflect any changes made as a result of the feedback loop. This ensures that improvements are sustained and replicated across the organization.
- **Transparency and Communication**: Share findings and improvements with the team and broader organization to foster a culture of continuous learning and ownership at all levels.
### Example Scenario
For instance, if a manufacturing team implements a new maintenance schedule to reduce equipment downtime, they could:
- **Set metrics**: Track downtime hours and OEE before and after implementation.
- **Monitor**: Use a dashboard to visualize these metrics daily.
- **Analyze**: If downtime does not decrease as expected, conduct a root cause analysis to explore potential issues with the new schedule.
- **Adjust**: Based on findings, modify the maintenance frequency or training for operators.
- **Document**: Update maintenance protocols and share the results with the team to ensure everyone is aligned.
By following these steps, you can create a robust feedback loop that not only monitors the effectiveness of solutions but also drives continuous improvement in line with FBS principles. 
I found related documents in our FBS knowledge base. Would you like me to search for more specific aspects of this topic?</t>
  </si>
  <si>
    <t>What role should team members play in sustaining the improvements?</t>
  </si>
  <si>
    <t>Team members play a crucial role in sustaining improvements within the Fortive Business System (FBS) framework, particularly through the Problem Solving Process (PSP) and Kaizen events. Here’s a detailed breakdown of their responsibilities and actions:
### 1. **Active Participation in Kaizen Events**
- **Engagement**: Team members should actively participate in kaizen events, which are chartered, time-bound improvements utilizing FBS tools. Their involvement is essential for identifying waste and proposing solutions.
- **Ownership**: Each team member should take ownership of specific tasks or areas during the kaizen event, ensuring that improvements are not only implemented but also understood and embraced by the team.
### 2. **Continuous Monitoring and Feedback**
- **Regular Check-ins**: Team members should engage in daily management practices to monitor the effectiveness of implemented solutions. This includes tracking key performance indicators (KPIs) and providing feedback on any deviations from expected outcomes.
- **Voice of the Customer (VOC)**: They should gather and relay customer feedback to ensure that improvements align with customer needs and expectations. This helps in identifying any further adjustments needed to sustain improvements.
### 3. **Documentation and Standardization**
- **Standard Work**: Team members are responsible for documenting new processes and standardizing work practices that emerge from kaizen events. This ensures that improvements are repeatable and can be sustained over time.
- **Training and Support**: They should also assist in training other team members on the new standards and practices, fostering a culture of continuous learning and improvement.
### 4. **Problem Solving and Adaptation**
- **Proactive Problem Solving**: When issues arise, team members should apply the PSP framework to identify root causes and develop solutions. This proactive approach helps in addressing potential setbacks before they escalate.
- **Adaptability**: Team members should remain flexible and open to adjusting processes as new challenges or opportunities for improvement arise. This adaptability is key to sustaining improvements in a dynamic environment.
### 5. **Fostering a Culture of Continuous Improvement**
- **Encouragement of Ideas**: Team members should be encouraged to share ideas for further improvements, creating an environment where continuous improvement is part of the organizational culture.
- **Recognition and Accountability**: Recognizing team members for their contributions to sustaining improvements can motivate ongoing engagement. Additionally, holding each other accountable for maintaining standards helps reinforce commitment to the improvements made.
### Example Scenario
For instance, after a kaizen event aimed at reducing cycle time in a manufacturing process, team members might:
- **Monitor**: Track cycle times daily and report any anomalies.
- **Document**: Create a standard operating procedure (SOP) that reflects the new process.
- **Train**: Conduct training sessions for new hires on the updated process.
- **Feedback**: Regularly solicit feedback from operators on the effectiveness of the new process and make adjustments as necessary.
By fulfilling these roles, team members not only help sustain improvements but also contribute to a culture of excellence and continuous improvement within the Fortive Business System.
I found related documents in our FBS knowledge base. Would you like me to search for more specific aspects of this topic?</t>
  </si>
  <si>
    <r>
      <rPr>
        <b/>
        <sz val="10"/>
        <color theme="1"/>
        <rFont val="Century Gothic"/>
        <family val="2"/>
      </rPr>
      <t>P.Lee</t>
    </r>
    <r>
      <rPr>
        <sz val="10"/>
        <color theme="1"/>
        <rFont val="Century Gothic"/>
        <family val="2"/>
      </rPr>
      <t xml:space="preserve">
Where are we referencing this?  Do we have a list of responsibiities ofr team members during sustainment?</t>
    </r>
  </si>
  <si>
    <t>How do I document lessons learned to inform future problem-solving efforts?</t>
  </si>
  <si>
    <t>Documenting lessons learned is a critical component of the Problem Solving Process (PSP) within the Fortive Business System (FBS). This practice not only enhances future problem-solving efforts but also fosters a culture of continuous improvement. Here’s a structured approach to effectively document lessons learned:
### 1. **Establish a Standardized Format**
- **Create a Template**: Develop a standardized template for documenting lessons learned. This template should include sections for:
  - **Problem Statement**: A clear description of the issue addressed.
  - **Actions Taken**: Detailed steps of the problem-solving process, including tools and methodologies used (e.g., PSP, Kaizen).
  - **Results Achieved**: Quantitative and qualitative outcomes of the implemented solutions.
  - **Lessons Learned**: Key insights gained from the experience, including what worked well and what didn’t.
  - **Recommendations for Future**: Suggestions for similar future situations based on the lessons learned.
### 2. **Involve the Team**
- **Collaborative Documentation**: Engage all team members involved in the problem-solving process to contribute to the documentation. This ensures diverse perspectives and comprehensive insights.
- **Kaizen Events**: Utilize kaizen events as opportunities to reflect on lessons learned. After a kaizen event, hold a debriefing session to discuss outcomes and insights, which can then be documented.
### 3. **Utilize FBS Tools**
- **Visual Management**: Use visual management tools to capture and display lessons learned. For example, a lessons learned board can be created in the workspace where team members can add insights as they arise.
- **Voice of the Customer (VOC)**: Incorporate feedback from customers into the lessons learned documentation. Understanding customer perspectives can provide valuable insights into the effectiveness of solutions.
### 4. **Regular Review and Update**
- **Scheduled Reviews**: Establish regular intervals (e.g., quarterly) to review and update the lessons learned documentation. This ensures that insights remain relevant and are integrated into ongoing processes.
- **Integration into Training**: Use documented lessons learned as part of training materials for new team members or during onboarding sessions. This helps instill a culture of learning from past experiences.
### 5. **Share and Communicate**
- **Dissemination**: Share the documented lessons learned across the organization. This can be done through newsletters, team meetings, or dedicated knowledge-sharing platforms.
- **Feedback Loop**: Encourage feedback on the lessons learned documentation from other teams or departments. This can lead to further insights and improvements.
### Example Scenario
For instance, after a kaizen event aimed at reducing lead times in a production process, the team could:
- **Document**: Use the standardized template to record the problem statement (e.g., excessive lead times), actions taken (e.g., process mapping, implementing new workflows), results achieved (e.g., 20% reduction in lead times), and lessons learned (e.g., the importance of cross-functional collaboration).
- **Review**: Schedule a follow-up meeting to review the documentation and discuss how these lessons can inform future projects.
- **Share**: Present the findings in a company-wide meeting to highlight successful strategies and encourage other teams to adopt similar practices.
By following these steps, you can effectively document lessons learned that will inform and enhance future problem-solving efforts within the Fortive Business System.
I found related documents in our FBS knowledge base. Would you like me to search for more specific aspects of this topic?</t>
  </si>
  <si>
    <r>
      <rPr>
        <b/>
        <sz val="10"/>
        <color theme="1"/>
        <rFont val="Century Gothic"/>
        <family val="2"/>
      </rPr>
      <t>PLEE</t>
    </r>
    <r>
      <rPr>
        <sz val="10"/>
        <color theme="1"/>
        <rFont val="Century Gothic"/>
        <family val="2"/>
      </rPr>
      <t xml:space="preserve">
We try to track all the lessons learned during the report outs. I don’t think we have a good process to obtain them at the moment.  How are we obtaining the answers here?</t>
    </r>
  </si>
  <si>
    <t>What metrics should I track to ensure ongoing compliance with the new processes?</t>
  </si>
  <si>
    <t>To ensure ongoing compliance with new processes within the Fortive Business System (FBS), it is essential to track specific metrics that reflect both the effectiveness of the processes and adherence to established standards. Here’s a structured approach to identifying and tracking these metrics:
### 1. **Define Key Performance Indicators (KPIs)**
- **Process Compliance Rate**: Measure the percentage of processes that are followed as documented. This can be calculated by comparing the number of compliant processes to the total number of processes.
- **Cycle Time**: Track the time taken to complete a process from start to finish. This metric helps identify delays and inefficiencies that may indicate non-compliance.
- **Error Rate**: Monitor the frequency of errors or defects in the output of the process. A high error rate may suggest that the process is not being followed correctly or that it needs refinement.
### 2. **Utilize Visual Management Tools**
- **Dashboards**: Implement visual dashboards that display real-time data on the above metrics. This aligns with the FBS principle of transparency and allows teams to quickly assess compliance status.
- **Daily Management Meetings**: Use daily management practices to review these metrics regularly. This ensures that the team is focused on critical metrics and can take immediate action if compliance is off track.
### 3. **Conduct Regular Audits and Reviews**
- **Process Audits**: Schedule regular audits to assess adherence to the new processes. This can involve checking documentation, observing workflows, and interviewing team members.
- **Feedback Mechanisms**: Establish channels for team members to provide feedback on process compliance. This can help identify areas where the process may not be clear or where additional training may be needed.
### 4. **Track Customer Satisfaction Metrics**
- **Voice of the Customer (VOC)**: Incorporate customer feedback as a metric for compliance. If customers report issues related to process outputs, it may indicate that the processes are not being followed effectively.
- **Net Promoter Score (NPS)**: Measure customer loyalty and satisfaction. A decline in NPS may signal that process compliance is affecting customer experience.
### 5. **Implement Continuous Improvement Metrics**
- **Kaizen Event Outcomes**: Track the results of kaizen events aimed at improving processes. Metrics such as the percentage of implemented improvements and their impact on compliance can provide insights into ongoing adherence.
- **Training Effectiveness**: Measure the effectiveness of training programs related to new processes. This can be done through assessments or surveys to ensure that team members understand and can apply the new processes.
### Example Scenario
For instance, if a manufacturing team implements a new quality control process, they might track:
- **Process Compliance Rate**: Aim for 95% adherence to the new quality checks.
- **Error Rate**: Monitor the number of defects per batch produced, targeting a reduction of 20% within the first quarter.
- **Customer Feedback**: Use VOC surveys to assess customer satisfaction with product quality, aiming for an NPS of 70 or higher.
By tracking these metrics, teams can ensure ongoing compliance with new processes, identify areas for improvement, and drive continuous enhancement in line with FBS principles.
I found related documents in our FBS knowledge base. Would you like me to search for more specific aspects of this topic?</t>
  </si>
  <si>
    <r>
      <rPr>
        <b/>
        <sz val="10"/>
        <color theme="1"/>
        <rFont val="Century Gothic"/>
        <family val="2"/>
      </rPr>
      <t>P.Lee</t>
    </r>
    <r>
      <rPr>
        <sz val="10"/>
        <color theme="1"/>
        <rFont val="Century Gothic"/>
        <family val="2"/>
      </rPr>
      <t xml:space="preserve">
These are how answers.   There is not a right answer to which metric is the right one if there's not a problem it can reference against.   Main thing is that there should be some Daily Management built in, and understanding the leading or lagging indicators that makes sense.
</t>
    </r>
  </si>
  <si>
    <t>How can I effectively communicate my findings and action plans to stakeholders?</t>
  </si>
  <si>
    <t>Effectively communicating findings and action plans to stakeholders is crucial for ensuring alignment, gaining support, and driving successful implementation within the Fortive Business System (FBS). Here’s a structured approach to achieve this:
### 1. **Understand Your Audience**
- **Identify Stakeholders**: Determine who your stakeholders are (e.g., team members, management, customers) and understand their interests and concerns.
- **Tailor Communication**: Customize your message based on the audience's level of understanding and their specific interests. For example, executives may prefer high-level summaries, while technical teams may need detailed data.
### 2. **Use Clear and Concise Language**
- **Avoid Jargon**: Use straightforward language and avoid technical jargon unless you are sure the audience is familiar with it. This ensures clarity and prevents misunderstandings.
- **Be Direct**: Start with the key findings and action plans before diving into details. This approach captures attention and provides context for the subsequent information.
### 3. **Structure Your Presentation**
- **Executive Summary**: Begin with a brief overview of the findings and the proposed action plans. This should include the problem statement, key insights, and the expected outcomes of the actions.
- **Detailed Findings**: Present the findings in a logical order, using bullet points or numbered lists for clarity. Include relevant data and metrics to support your conclusions.
- **Action Plans**: Clearly outline the action plans, specifying:
  - **What**: The specific actions to be taken.
  - **Who**: The individuals or teams responsible for each action.
  - **When**: The timeline for implementation.
  - **How**: The methods or tools that will be used (e.g., Kaizen events, PSP).
### 4. **Utilize Visual Aids**
- **Charts and Graphs**: Use visual aids such as charts, graphs, and infographics to illustrate key data points and trends. This can make complex information more digestible.
- **Dashboards**: If applicable, present a dashboard that summarizes key metrics and progress towards goals. This aligns with the FBS principle of transparency.
### 5. **Engage Stakeholders**
- **Interactive Discussions**: Encourage questions and discussions during your presentation. This fosters engagement and allows stakeholders to express their concerns or suggestions.
- **Feedback Mechanism**: Establish a process for stakeholders to provide feedback on the findings and action plans. This can be done through surveys, follow-up meetings, or informal discussions.
### 6. **Follow-Up Communication**
- **Documentation**: After the presentation, provide a written summary of the findings and action plans. This serves as a reference for stakeholders and reinforces the key messages.
- **Regular Updates**: Keep stakeholders informed of progress on the action plans through regular updates. This could be in the form of emails, newsletters, or status meetings.
### Example Scenario
For instance, after conducting a Kaizen event aimed at reducing waste in a production process, you might:
- **Prepare an Executive Summary**: Highlight the reduction in waste by 30% and the expected cost savings.
- **Present Findings**: Use a chart to show waste levels before and after the event.
- **Outline Action Plans**: Specify that the new process will be implemented by the production team by the end of the month, with training sessions scheduled for next week.
- **Engage the Team**: Invite questions and encourage feedback on the proposed changes.
By following these steps, you can effectively communicate your findings and action plans to stakeholders, ensuring clarity, engagement, and alignment with the Fortive Business System principles.
I found related documents in our FBS knowledge base. Would you like me to search for more specific aspects of this topic?</t>
  </si>
  <si>
    <t>What tools from the Fortive Business System can I leverage to enhance my problem-solving efforts?</t>
  </si>
  <si>
    <t>To enhance your problem-solving efforts within the Fortive Business System (FBS), you can leverage a variety of tools designed to facilitate effective analysis, implementation, and continuous improvement. Here’s a detailed overview of key tools you can utilize:
### 1. **Problem Solving Process (PSP)**
- **Overview**: The PSP is a structured framework that guides teams through identifying, analyzing, and solving problems. It is essential when you encounter challenges and need a systematic approach.
- **Application**: Use PSP to define the problem clearly, gather data, analyze root causes, develop countermeasures, and implement solutions. For example, if you are facing quality issues in production, apply the PSP to identify the root cause and develop a targeted action plan.
### 2. **Kaizen Events**
- **Overview**: Kaizen events are chartered, time-bound improvement initiatives that utilize FBS tools to eliminate waste and enhance processes.
- **Application**: Organize a kaizen event focused on a specific area of improvement, such as reducing cycle time in manufacturing. Engage cross-functional teams to brainstorm solutions, implement changes, and measure results within a set timeframe.
### 3. **Value Stream Mapping (VSM)**
- **Overview**: VSM is a visual tool used to analyze and design the flow of materials and information required to bring a product or service to the customer.
- **Application**: Use VSM to identify bottlenecks and inefficiencies in your processes. For instance, mapping the value stream of a product can help you visualize where delays occur and where improvements can be made.
### 4. **Standard Work**
- **Overview**: Standard Work establishes a documented, repeatable sequence of tasks to ensure consistency and quality in processes.
- **Application**: Develop standard operating procedures (SOPs) based on best practices identified during problem-solving efforts. This ensures that all team members follow the same process, reducing variability and improving quality.
### 5. **Daily Management (DM)**
- **Overview**: DM is a team-based, visual process that ensures discipline in processes and drives improvements around critical metrics.
- **Application**: Implement daily management routines to review key performance indicators (KPIs) and address any deviations from expected performance. For example, hold daily stand-up meetings to discuss progress on action items from previous problem-solving efforts.
### 6. **Countermeasures (CM)**
- **Overview**: Countermeasures are actions taken to address identified problems, which can be temporary or permanent.
- **Application**: After identifying root causes through the PSP, develop and implement countermeasures to mitigate these issues. For example, if equipment downtime is a problem, a countermeasure could involve scheduling regular maintenance checks.
### 7. **Voice of the Customer (VOC)**
- **Overview**: VOC is a method for capturing customer feedback and understanding their needs and expectations.
- **Application**: Use VOC to inform your problem-solving efforts by ensuring that solutions align with customer requirements. For instance, if customers report dissatisfaction with a product feature, use this feedback to guide your improvement initiatives.
### Example Scenario
Imagine you are facing a challenge with high customer returns due to product defects. You could:
- **Apply PSP** to analyze the defect rates and identify root causes.
- **Conduct a Kaizen Event** with a cross-functional team to brainstorm and implement solutions.
- **Use VSM** to map the production process and identify where defects are introduced.
- **Establish Standard Work** to ensure that quality checks are consistently applied.
- **Implement Daily Management** to monitor defect rates and take immediate action if they exceed acceptable levels.
- **Gather VOC** to understand customer expectations and adjust your processes accordingly.
By leveraging these tools from the Fortive Business System, you can enhance your problem-solving efforts, drive continuous improvement, and ultimately deliver better results.
I found related documents in our FBS knowledge base. Would you like me to search for more specific aspects of this topic?</t>
  </si>
  <si>
    <t>P.Lee
not wrong but not sure this is the best recommendation. What is the source of these answers?</t>
  </si>
  <si>
    <t>How do I differentiate between caused and created problems in my analysis?</t>
  </si>
  <si>
    <t>Differentiating between caused and created problems is essential in the Problem Solving Process (PSP) within the Fortive Business System (FBS). Understanding this distinction helps in accurately identifying the root causes of issues and developing effective solutions. Here’s a comprehensive guide on how to differentiate between these two types of problems:
### 1. **Definitions**
- **Caused Problems**: These are issues that arise from external factors or events that are beyond the control of the organization. They are typically situational and can be attributed to outside influences.
- **Created Problems**: These problems stem from internal processes, decisions, or behaviors within the organization. They are often systemic and can be traced back to how work is structured or managed.
### 2. **Identifying Caused Problems**
- **External Factors**: Look for issues that result from external circumstances, such as market changes, supplier failures, or regulatory changes. For example, if a production line is halted due to a supplier not delivering materials on time, this is a caused problem.
- **Situational Analysis**: Conduct a situational analysis to determine if the problem is linked to external events. Ask questions like:
  - What external factors contributed to this issue?
  - Are there any market conditions or external pressures influencing this problem?
### 3. **Identifying Created Problems**
- **Internal Processes**: Examine whether the problem arises from internal workflows, policies, or practices. For instance, if a team consistently misses deadlines due to unclear roles and responsibilities, this is a created problem.
- **Root Cause Analysis**: Use root cause analysis techniques (e.g., the 5 Whys) to trace the problem back to its origin within the organization. Ask questions like:
  - What internal processes led to this issue?
  - Are there any systemic issues or behaviors that contributed to the problem?
### 4. **Examples**
- **Caused Problem Example**: A sudden increase in customer complaints about product quality due to a natural disaster affecting a key supplier's operations. The problem is caused by an external event (the disaster) that the organization cannot control.
- **Created Problem Example**: A decline in employee productivity due to a lack of training and unclear expectations. This issue is created by internal decisions regarding training and management practices.
### 5. **Utilizing the PSP Framework**
- **Problem Statement**: Clearly articulate the problem statement, specifying whether it is caused or created. This helps in framing the analysis and guiding the problem-solving efforts.
- **Action Plans**: Develop action plans based on the type of problem identified. For caused problems, focus on mitigating external risks (e.g., finding alternative suppliers). For created problems, concentrate on improving internal processes (e.g., enhancing training programs).
### 6. **Documentation and Communication**
- **Record Findings**: Document the analysis of caused vs. created problems in your problem-solving records. This ensures clarity and provides a reference for future issues.
- **Communicate Clearly**: When presenting findings to stakeholders, clearly differentiate between caused and created problems to facilitate understanding and alignment on action plans.
### Conclusion
By effectively differentiating between caused and created problems, you can enhance your analysis and problem-solving efforts within the Fortive Business System. This distinction allows for targeted interventions that address the root causes of issues, ultimately leading to more sustainable solutions.
I found related documents in our FBS knowledge base. Would you like me to search for more specific aspects of this topic?</t>
  </si>
  <si>
    <r>
      <rPr>
        <b/>
        <sz val="10"/>
        <color theme="1"/>
        <rFont val="Century Gothic"/>
        <family val="2"/>
      </rPr>
      <t>P.Lee</t>
    </r>
    <r>
      <rPr>
        <sz val="10"/>
        <color theme="1"/>
        <rFont val="Century Gothic"/>
        <family val="2"/>
      </rPr>
      <t xml:space="preserve">
This is the same as number 7 above.</t>
    </r>
  </si>
  <si>
    <t>Can you provide examples of successful PSP applications in similar situations?</t>
  </si>
  <si>
    <t>Certainly! The Problem Solving Process (PSP) within the Fortive Business System (FBS) is designed to address various challenges across different areas of the business. Here are some examples of successful PSP applications in situations similar to those you might encounter:
### Example 1: Reducing Production Downtime
**Situation**: A manufacturing facility experiences frequent downtime due to equipment failures, impacting production efficiency.
**PSP Application**:
1. **Define the Problem**: The team identifies that equipment downtime is exceeding acceptable limits, leading to lost production hours.
2. **Gather Data**: They collect data on downtime incidents, including frequency, duration, and causes.
3. **Analyze Root Causes**: Using tools like the 5 Whys, the team discovers that inadequate maintenance schedules and lack of operator training are contributing factors.
4. **Develop Countermeasures**: The team implements a revised maintenance schedule and conducts training sessions for operators on equipment handling.
5. **Monitor Results**: After implementing the changes, they track downtime metrics and observe a 30% reduction in downtime over the next quarter.
### Example 2: Improving Customer Satisfaction
**Situation**: A service department receives feedback indicating low customer satisfaction scores due to slow response times.
**PSP Application**:
1. **Define the Problem**: The team recognizes that customer service response times are longer than industry standards.
2. **Gather Data**: They analyze response time data and customer feedback to identify patterns.
3. **Analyze Root Causes**: The analysis reveals that the team is understaffed during peak hours and lacks a streamlined ticketing system.
4. **Develop Countermeasures**: The team proposes hiring additional staff for peak hours and implementing a new ticketing software to prioritize urgent requests.
5. **Monitor Results**: After changes are made, customer satisfaction scores improve significantly, with a 20% increase in positive feedback within three months.
### Example 3: Streamlining a Transactional Process
**Situation**: A finance department faces delays in processing invoices, leading to late payments and strained vendor relationships.
**PSP Application**:
1. **Define the Problem**: The team identifies that invoice processing times are consistently above the target.
2. **Gather Data**: They collect data on processing times, bottlenecks, and error rates in the current workflow.
3. **Analyze Root Causes**: Through value stream mapping, they find that manual data entry and lack of clear roles are causing delays.
4. **Develop Countermeasures**: The team implements an automated invoicing system and clarifies roles and responsibilities within the team.
5. **Monitor Results**: Post-implementation, they track processing times and find a 40% reduction in invoice processing time, leading to improved vendor relationships.
### Example 4: Enhancing Product Quality
**Situation**: A product line experiences a high rate of defects, resulting in increased returns and warranty claims.
**PSP Application**:
1. **Define the Problem**: The team identifies that defect rates are above acceptable levels, impacting customer satisfaction and profitability.
2. **Gather Data**: They analyze defect reports and customer complaints to identify common issues.
3. **Analyze Root Causes**: The team discovers that variations in the manufacturing process and inadequate quality checks are contributing to defects.
4. **Develop Countermeasures**: They standardize the manufacturing process and implement additional quality control checkpoints.
5. **Monitor Results**: After implementing these changes, defect rates decrease by 50%, leading to lower return rates and improved customer feedback.
### Conclusion
These examples illustrate how the PSP can be effectively applied to various challenges within an organization. By following the structured approach of defining problems, gathering data, analyzing root causes, developing countermeasures, and monitoring results, teams can achieve significant improvements in performance and customer satisfaction.
I found related documents in our FBS knowledge base. Would you like me to search for more specific aspects of this topic?</t>
  </si>
  <si>
    <t xml:space="preserve">P.Lee
This seems like taken out of context for the prompt.  Which situation is this comparing against?   Cant evalaute the answer without previous info
</t>
  </si>
  <si>
    <t>What resources are available for further training on the PSP methodology?</t>
  </si>
  <si>
    <t>To enhance your understanding and application of the Problem Solving Process (PSP) methodology within the Fortive Business System (FBS), several resources are available for further training. Here’s a structured overview of these resources:
### 1. **Digital Learning Courses**
- **PSP Digital Learning Course**: This course is specifically designed to provide a comprehensive overview of the PSP methodology. It covers the framework, tools, and techniques necessary for effective problem-solving. Enrolling in this course will equip you with the knowledge to apply PSP in various business scenarios.
  - **Access**: You can find this course on the Fortive learning platform or through the FBS training portal.
### 2. **Kaizen Event Basics Course**
- **Overview**: This course focuses on the principles of kaizen, which is integral to the PSP. It teaches participants how to plan, execute, and sustain continuous improvement efforts through kaizen events.
  - **Duration**: Approximately 1 hour.
  - **Content**: The course includes practical examples and case studies that illustrate the application of kaizen in conjunction with the PSP.
  - **Access**: Available on the Fortive learning platform.
### 3. **FBS Learning Documents**
- **Comprehensive Resources**: The FBS knowledge base contains various documents and presentations that detail the PSP methodology and its application. These resources include:
  - **Case Studies**: Real-world examples of PSP applications within Fortive, such as the Super Bank case study, which highlights process improvement efforts.
  - **Glossary and Acronyms**: Understanding the terminology used in FBS can enhance your comprehension of the PSP framework.
  - **Access**: These documents can be accessed through the Fortive SharePoint site or the FBS knowledge base.
### 4. **Workshops and Training Sessions**
- **In-Person or Virtual Workshops**: Fortive often conducts workshops that focus on the PSP and related methodologies. These sessions provide hands-on experience and the opportunity to collaborate with peers.
  - **Networking**: Engaging in these workshops allows you to network with other employees who are also applying PSP, facilitating knowledge sharing and best practices.
### 5. **Mentorship and Coaching**
- **On-the-Job Training**: Seek mentorship from experienced colleagues who have successfully applied the PSP methodology. They can provide insights, guidance, and support as you work on your own problem-solving initiatives.
- **Peer Learning**: Form study groups or peer learning sessions to discuss challenges and share experiences related to the PSP.
### 6. **Continuous Improvement Resources**
- **FBS Fundamentals**: Familiarize yourself with other FBS tools and methodologies that complement the PSP, such as Value Stream Mapping (VSM), Daily Management (DM), and Standard Work. Understanding these tools will enhance your overall problem-solving capabilities.
- **Access**: Resources related to these methodologies are also available on the Fortive learning platform and SharePoint.
### Conclusion
By utilizing these resources, you can deepen your understanding of the Problem Solving Process and enhance your ability to apply it effectively within the Fortive Business System. Engaging in training courses, accessing learning documents, participating in workshops, and seeking mentorship will all contribute to your professional development in this area.
I found related documents in our FBS knowledge base. Would you like me to search for more specific aspects of this topic?</t>
  </si>
  <si>
    <r>
      <rPr>
        <b/>
        <sz val="10"/>
        <color theme="1"/>
        <rFont val="Century Gothic"/>
        <family val="2"/>
      </rPr>
      <t>P:Lee</t>
    </r>
    <r>
      <rPr>
        <sz val="10"/>
        <color theme="1"/>
        <rFont val="Century Gothic"/>
        <family val="2"/>
      </rPr>
      <t xml:space="preserve">
One thing I will update is to indicate Instructor Led bootcamps - to check with the FBS schedule,  the joining a PSP kaizen seeing it in action, and applying the PSP process in your dialy work.  Practice, practice, practice.   Then reach out to the the PSP champions for further guidance.</t>
    </r>
  </si>
  <si>
    <t>VSM - When to use?</t>
  </si>
  <si>
    <t>Value Stream Mapping (VSM) is beneficial when applied to the right problem. However, it is not a universal tool and should be used selectively based on the specific challenges in your workflows or systems.</t>
  </si>
  <si>
    <t>https://fortive.sharepoint.com/:p:/r/sites/FTV-TheFort/_layouts/15/Doc.aspx?sourcedoc=%7B8E18CC86-963B-402D-9A5F-30E27D5ECE6C%7D&amp;file=value-stream-mapping-tied%20to%20elearning.pptx&amp;action=edit&amp;mobileredirect=true</t>
  </si>
  <si>
    <r>
      <rPr>
        <b/>
        <sz val="11"/>
        <color theme="1"/>
        <rFont val="Century Gothic"/>
        <family val="2"/>
      </rPr>
      <t xml:space="preserve">P.Lee </t>
    </r>
    <r>
      <rPr>
        <sz val="11"/>
        <color theme="1"/>
        <rFont val="Century Gothic"/>
        <family val="2"/>
      </rPr>
      <t xml:space="preserve">
Where did this answer come from? This is a fundamental tool.  Where did the wordings not a Universal tool come from?  </t>
    </r>
  </si>
  <si>
    <t>Steps in building a VSM</t>
  </si>
  <si>
    <t>The process of building a Value Stream Map includes creating a graphic representation of the flow of information and materials in a process or service. One key step is creating a Future State Value Stream Map to visualize how the process can be optimized. This helps identify problems and inconsistencies where customer expectations are not being met. While specific detailed steps are not listed, the focus is on understanding and improving the current state towards a future, streamlined flow.</t>
  </si>
  <si>
    <t>https://fortive.sharepoint.com/:p:/r/sites/FTV-TheFort/Shared%20Documents/_2025/Projects/KATA/Project%20Plan/Data/Kata%20files/FBS%20Learning%20Documents/value-stream-mapping-tied%20to%20elearning.pptx?d=w8e18cc86963b402d9a5f30e27d5ece6c&amp;csf=1&amp;web=1&amp;e=mSg8f4</t>
  </si>
  <si>
    <t>P.Lee
This is asking for steps in a VSM.  I think the VSM mentor should be able to define and list out all the steps.  Not a generic answer.</t>
  </si>
  <si>
    <t>How to convert inventory in unit of work (quotes, propects, lines, devices etc.)  to units of Time</t>
  </si>
  <si>
    <t>To convert inventory in units of work into units of time, you need to use the lead time calculation approach. Take the total inventory count of the work items (e.g., quotes, prospects, etc.) and divide this by the daily demand (how many items are processed or completed daily). This gives you the amount of wait time tied up in the inventory. 
Example Calculation:
- Inventory: 100 prospects
- Daily Demand: 20 prospects/day
- Lead Time: 100 ÷ 20 = 5 days
This method translates inventory quantity into the associated waiting time for completion.</t>
  </si>
  <si>
    <t>V. Akella</t>
  </si>
  <si>
    <t>What is TAKT time</t>
  </si>
  <si>
    <t>TAKT time represents the regular pulse set by customer demand. It is calculated using the formula:
TAKT TIME = Total Available Production Time ÷ Average Customer Demand
This calculation helps determine the maximum time your processes can take to meet customer expectations. It’s usually performed in seconds or minutes and aligns your production to the pace required by customers.</t>
  </si>
  <si>
    <r>
      <t xml:space="preserve">P.Lee
should just be Total available </t>
    </r>
    <r>
      <rPr>
        <b/>
        <sz val="11"/>
        <color theme="1"/>
        <rFont val="Century Gothic"/>
        <family val="2"/>
      </rPr>
      <t>Productive</t>
    </r>
    <r>
      <rPr>
        <sz val="11"/>
        <color theme="1"/>
        <rFont val="Century Gothic"/>
        <family val="2"/>
      </rPr>
      <t xml:space="preserve"> Time.    Need to correct source</t>
    </r>
  </si>
  <si>
    <t>Process Time Vs Lead time</t>
  </si>
  <si>
    <t>Process Time is the cycle time required to complete work without interruptions, while Lead Time represents the total wait time (such as inventory waiting to be processed). Both are essential for completing the timeline of a Current State Value Stream Map.</t>
  </si>
  <si>
    <t>P.Lee
Should update the training deck to change - provide more clarity in LT and Processing time &amp; associating wait time.  We need to update the VSM to align these concepts - correct and align in TPI, SW</t>
  </si>
  <si>
    <t>What to fill in Process box?</t>
  </si>
  <si>
    <t>In the Process box, you should detail each activity required to fulfill a customer request within the value stream. These activities are part of the sequence that ensures the delivery of the product or service to the customer. Avoid adding swim lanes or decision diamonds, as VSM is not meant to be a detailed process map.</t>
  </si>
  <si>
    <t>P.Lee &amp; V.Akella</t>
  </si>
  <si>
    <t>Information flow - what does that mean?</t>
  </si>
  <si>
    <t>In the context of Value Stream Mapping, information flow refers to the movement and communication of data necessary to complete a product or service. It helps teams visualize and understand inefficiencies in their processes, specifically showing where material or service delivery may not align with customer expectations.</t>
  </si>
  <si>
    <t>P.Lee &amp; V.Akella
right answer and pulling from system
This would be a good one where you show an image of the zigzag arrow</t>
  </si>
  <si>
    <t>Affinity Diagram for waste</t>
  </si>
  <si>
    <t>### Template for Recording Waste
This template is suited for documenting and organizing observations of waste. It can be applied effectively to streamline waste identification during value stream mapping through techniques like affinity diagrams.
#### Key Features:
- Categorizes waste types for easier analysis.
- Provides a structured format to document waste observations.
- Helps in organizing and prioritizing waste occurrences during process improvement initiatives.
#### Access Link:
&lt;a href="https://fortive.sharepoint.com/sites/FBS/Shared%20Documents/Waste%20Recording%20Form.xlsx?d=w45ff08d1b13049bc98c3232db6b075df&amp;csf=1&amp;web=1&amp;e=OepEri" target="_blank" rel="noopener noreferrer"&gt;Download Waste Recording Form&lt;/a&gt;
This resource directly facilitates teams engaged in identifying and addressing inefficiencies within a value stream.</t>
  </si>
  <si>
    <t>https://fortive.sharepoint.com/sites/FBS/Shared%20Documents/Waste%20Recording%20Form.xlsx?d=w45ff08d1b13049bc98c3232db6b075df&amp;csf=1&amp;web=1&amp;e=OepEri</t>
  </si>
  <si>
    <t>P.Lee &amp; V.Akella
Where did this question generated from?  Where does the access link take you?  There is no specific affinity diagram just for waste.   
We have an affinity diagram template that can be used when prioritizing which one to work on</t>
  </si>
  <si>
    <t>Prioritiztion matrix for Kaizen</t>
  </si>
  <si>
    <t>### Prioritization Tool for Kaizen Events
To support prioritization during Kaizen events, an **Impact Matrix Template** is available. This resource helps teams structure and rank items based on their impact and feasibility.
#### Key Features:
- Categorizes initiatives for effective prioritization.
- Identifies high-impact, high-feasibility actions to streamline decision-making.
#### Template Access:
You can download the template directly using the following link:
&lt;a href="https://fortive.sharepoint.com/sites/FBS/Shared%20Documents/Impact%20Matrix.pptx?d=wf6a814ba5ede40b69088cf84fb4e6baf&amp;csf=1&amp;web=1&amp;e=Aq27os" target="_blank" rel="noopener noreferrer"&gt;Download Impact Matrix Template&lt;/a&gt; 
#### Recommendation:
Ensure the matrix is customized to reflect the specific goals and metrics of your Value Stream Mapping and Kaizen event objectives.</t>
  </si>
  <si>
    <t>https://fortive.sharepoint.com/:p:/r/sites/FBS/_layouts/15/Doc.aspx?sourcedoc=%7BF6A814BA-5EDE-40B6-9088-CF84FB4E6BAF%7D&amp;file=Impact%20Matrix.pptx&amp;action=edit&amp;mobileredirect=true</t>
  </si>
  <si>
    <t>Kaizen charter template</t>
  </si>
  <si>
    <t>### Kaizen Charter Template
A ready-to-use Kaizen Charter template for planning and executing Kaizen events is available in the 'Kaizen event basics' category. You can access it through the following link:
- **&lt;a href="https://fortive.sharepoint.com/sites/FBS/Shared%20Documents/Fortive-Kaizen-Charter%202022.xlsx?d=w217854ef74444dfc9d56cb7fb197fe23&amp;csf=1&amp;web=1&amp;e=A8VluV" target="_blank" rel="noopener noreferrer"&gt;Download the Kaizen Charter Template&lt;/a&gt;**
This template assists in defining objectives, scope, and responsibilities specific to Kaizen activities, such as Value Stream Mapping (VSM).</t>
  </si>
  <si>
    <t>https://fortive.sharepoint.com/sites/FBS/Shared%20Documents/Fortive-Kaizen-Charter%202022.xlsx?d=w217854ef74444dfc9d56cb7fb197fe23&amp;csf=1&amp;web=1&amp;e=A8VluV</t>
  </si>
  <si>
    <t>Link is not working</t>
  </si>
  <si>
    <t>Action plan template</t>
  </si>
  <si>
    <t>**Source:** &lt;a href="https://fortive.sharepoint.com/:x:/r/sites/FBS/Shared%20Documents/2018%20Action%20Plan%20Template%20Ver4_.xls?d=w8b3015f5d6a94e28a98f37f2cd29d88d&amp;csf=1&amp;web=1&amp;e=ujyswj" target="_blank" rel="noopener noreferrer"&gt;2018 Action Plan Template Ver4&lt;/a&gt;  
**Description:** The template provided offers a structured format for creating an action plan tailored for Value Stream Mapping. Include key sections such as task details, responsible person, timeline, and metrics. You can download the file directly from the linked resource.</t>
  </si>
  <si>
    <t>https://fortive.sharepoint.com/:x:/r/sites/FBS/Shared%20Documents/2018%20Action%20Plan%20Template%20Ver4_.xls?d=w8b3015f5d6a94e28a98f37f2cd29d88d&amp;csf=1&amp;web=1&amp;e=ujyswj</t>
  </si>
  <si>
    <t xml:space="preserve">Link goes to an action plan with dates 2023 and 2024. </t>
  </si>
  <si>
    <t>Miro board template for VSM</t>
  </si>
  <si>
    <t>### Information Unavailable
Currently, there isn't a specific reference to a Miro board template designed for Value Stream Mapping in the search results provided. You may consider exploring Miro's official template library or reaching out directly to Miro's support for assistance.
### Suggested Next Steps
- Check Miro's &lt;a href="https://miro.com/templates/" target="_blank" rel="noopener noreferrer"&gt;template library&lt;/a&gt; for Value Stream Mapping options.
- Contact Miro’s customer support for guidance on accessing specific templates for your use case.</t>
  </si>
  <si>
    <t>https://miro.com/templates/</t>
  </si>
  <si>
    <r>
      <t>VSM template with FBS Bite Links - Miro</t>
    </r>
    <r>
      <rPr>
        <sz val="11"/>
        <rFont val="Aptos Narrow"/>
        <family val="2"/>
        <scheme val="minor"/>
      </rPr>
      <t xml:space="preserve">
We need to create a central repository of where to find the boards.</t>
    </r>
  </si>
  <si>
    <t>What is the purpose of a Value Stream Mapping (VSM) process?</t>
  </si>
  <si>
    <t>The purpose of a Value Stream Mapping (VSM) process is to visually represent the flow of materials and information in a process or service. It helps identify waste, evaluate how each process step adds value from the customer's perspective, and uncover problems or inconsistencies that hinder meeting customer expectations.</t>
  </si>
  <si>
    <t>How do you calculate lead time and cycle time in VSM?</t>
  </si>
  <si>
    <t>In Value Stream Mapping (VSM), Lead Time and Cycle Time are vital metrics for understanding flow and identifying bottlenecks.
**Lead Time:** This measures the waiting time. It encompasses how long inventory or work items remain in queue before processing begins. To calculate, sum up all the wait times between process steps.
**Cycle Time (Process Time):** This is the uninterrupted time required to complete the actual work. It doesn't include waiting or idle times. Sum up the duration of actual processing for each step.
By adding these metrics to your timeline, you can construct a complete Current State Value Stream Map and locate inefficiencies efficiently.</t>
  </si>
  <si>
    <t xml:space="preserve">P.Lee &amp; V.Akella
Our material is off, we need to update the source </t>
  </si>
  <si>
    <t>How does bottleneck identification improve flow efficiency?</t>
  </si>
  <si>
    <t>Identifying bottlenecks is crucial for improving flow efficiency because bottlenecks cause process delays and capacity constraints, as highlighted in Value Stream Mapping (VSM). By targeting these bottlenecks, you can optimize the flow of materials and information across the entire system, reducing cycle time and work-in-progress (WIP). This leads to a smoother, more efficient value stream with reduced waste and enhanced delivery outcomes.</t>
  </si>
  <si>
    <t>Can you describe an example of a simple VSM visual?</t>
  </si>
  <si>
    <t>### Example of a Simple Value Stream Mapping (VSM) Visual
**Value Stream Map (VSM)** is a tool used to visualize and analyze the flow of materials and information required to bring a product or service to a customer. Here's an outline of the basic components of a typical Value Stream Map:
1. **Process Steps:** Represented as rectangles or process blocks showing major steps in the workflow (e.g., 'Order Processing,' 'Manufacturing,' 'Shipping').
2. **Material Flow:** Arrows depict the movement of materials or products between process steps. 
3. **Information Flow:** Lines or arrows (usually dashed) showing the flow of information (e.g., orders, scheduling, etc.) between the customer, processes, and suppliers.
4. **Inventory Icons:** Triangles can be used to visually represent inventory between production steps.
5. **Key Metrics:** Metrics such as cycle time (CT), lead time (LT), and takt time (TT) are listed below each process block.
---
### Simple VSM Example (Text-based layout):
**Customer** → Order Received → | Cycle Time: 2 mins |
→ Manufacturing → | Cycle Time: 5 mins | → Packaging → | Cycle Time: 3 mins | 
→ **Shipping** → Delivery Completed. 
Material Flow: `---Straight Arrow---&gt;`
Information Flow: `--- Dashed Lines ---&gt;`
---
This is a simple linear example, but tools and templates typically provide diagrammatic representations. If you're looking for a related template, further context would be needed.</t>
  </si>
  <si>
    <t>Need to display a picture of VSM. The description does not mention Data sources for varoius steps which is also documented in a VSM.</t>
  </si>
  <si>
    <t>What is the role of WIP (Work in Progress) in analyzing a value stream?</t>
  </si>
  <si>
    <t>Work in Process (WIP) represents areas where there is inventory or tasks waiting in a queue for further processing. In Value Stream Mapping (VSM), WIP is used to identify bottlenecks or inefficiencies in the flow of work. By pinpointing locations where WIP builds up, teams can target delays and optimize flow for improved cycle time and lead time. The circle-with-lines icon visually indicates WIP levels in a value stream map.</t>
  </si>
  <si>
    <t>https://fortive.sharepoint.com/:p:/r/sites/FTV-TheFort/_layouts/15/Doc.aspx?sourcedoc=%7BAFDE1D59-E59F-49B8-AB60-2C268103BE0B%7D&amp;file=standard-work-tied%20to%20elearning.pptx&amp;action=edit&amp;mobileredirect=true</t>
  </si>
  <si>
    <t>P.Lee &amp; V.Akella
Correct answer, but why is this pulling from SW link for the definition.  Is there not any from the VSM module?</t>
  </si>
  <si>
    <t>What steps are involved in the VSM Process?</t>
  </si>
  <si>
    <t>The provided documents do not detail the steps involved in the Value Stream Mapping process. However, Value Stream Mapping generally involves visually representing the flow of materials and information to identify inefficiencies and areas not meeting customer expectations. Let me know if you'd like assistance understanding specific VSM-related concepts!</t>
  </si>
  <si>
    <t>Explain the importance of reading "Learning to See" before conducting VSM.</t>
  </si>
  <si>
    <t>The book 'Learning to See' is foundational for understanding Value Stream Mapping as it introduces key concepts and techniques. By reading it beforehand, individuals can grasp how to visually represent material and information flows essential to completing a product or service. This prepares teams to effectively identify bottlenecks, analyze flow efficiency, and optimize cycle and lead times during the mapping exercise.</t>
  </si>
  <si>
    <t>The source link opens a the PDF document that is blury in some sections. Where is the source for the "Learning to see"?</t>
  </si>
  <si>
    <t>What is the use of a Gemba kit during a VSM event?</t>
  </si>
  <si>
    <t>A Gemba kit is used during a VSM event to facilitate the team's understanding of the actual processes and to collect accurate data. It includes materials like the Gemba Packet and PPT Deck, which help guide the team in observing and analyzing the value stream directly at the 'Gemba' (real place where work happens). This ensures informed decision-making and helps identify bottlenecks or inefficiencies clearly.</t>
  </si>
  <si>
    <t>Not a good question</t>
  </si>
  <si>
    <t>How does one prepare for a VSM session according to the provided documents?</t>
  </si>
  <si>
    <r>
      <t xml:space="preserve">The preparation for a Value Stream Mapping session involves understanding the flow of materials and information required for a product or service. This process visually illustrates how activities align, forming a baseline for improvement. While </t>
    </r>
    <r>
      <rPr>
        <u/>
        <sz val="11"/>
        <color theme="1"/>
        <rFont val="Aptos Narrow"/>
        <family val="2"/>
        <scheme val="minor"/>
      </rPr>
      <t>the provided documents</t>
    </r>
    <r>
      <rPr>
        <sz val="11"/>
        <color theme="1"/>
        <rFont val="Aptos Narrow"/>
        <family val="2"/>
        <scheme val="minor"/>
      </rPr>
      <t xml:space="preserve"> don't detail preparation steps, it's implied that grasping VSM principles and the concept of mapping flows is essential.</t>
    </r>
  </si>
  <si>
    <t xml:space="preserve">What is the "Porovided document" referenced in the response? </t>
  </si>
  <si>
    <t>Why is bringing a VSM from an OpCo important for external teams?</t>
  </si>
  <si>
    <t>Bringing a Value Stream Map (VSM) from an OpCo is important for external teams because it fosters a customer-centric approach to improving outcomes like Quality, Delivery, and Cost. VSM encourages system thinking by allowing external teams to see the entire value creation flow, rather than focusing on isolated optimization efforts. This helps identify interactions between processes, uncover unnoticed inefficiencies, and highlight best practices that can be replicated. Additionally, it enables effective problem-solving by collaboratively addressing root causes and targeting areas of improvement with minimal effort.</t>
  </si>
  <si>
    <t>P.Lee &amp; V. Akella</t>
  </si>
  <si>
    <t>Where are the current bottlenecks in the value stream, and how are they impacting lead time and flow efficiency?</t>
  </si>
  <si>
    <t>Value Stream Mapping (VSM), as a visual tool, is instrumental for pinpointing bottlenecks that disrupt process flow efficiency and extend lead times. By assessing each significant step in the stream, VSM evaluates how each adds value from a customer’s perspective while identifying waste at any level of the organization. To locate the current bottlenecks, map the end-to-end process comprehensively, highlighting areas with excessive Work-in-Progress (WIP), extended cycle times, or interruptions in flow. Bottlenecks typically diminish flow efficiency by causing delays, increase lead times, and obstruct timely delivery. Address them for improved throughput and customer satisfaction.</t>
  </si>
  <si>
    <t>What insights does the Current State VSM reveal about Work in Progress (WIP) levels, and do any steps show excessive waiting or inefficiencies?</t>
  </si>
  <si>
    <t>A Current State Value Stream Map typically highlights areas where Work in Progress (WIP) levels are high, contributing to inefficiencies like excessive waiting times. By visualizing the flow, you can spot bottlenecks caused by delays, over-processing, or inventory buildup, which might result from capacity constraints or unnecessary motion.
For example, wastes such as 'waiting' and 'over-production' often manifest through prolonged lead times or rework cycles. Observing the stream firsthand will ensure no high-impact wastes are missed, including unused human potential or excessive downtime at specific stages. Focus on steps with significant delays or hold-ups to identify opportunities to streamline flow and reduce WIP.
Tip: Be sure to experience the flow yourself to fully understand these inefficiencies.</t>
  </si>
  <si>
    <t>How is takt time calculated, and how aligned are the current processes to this takt time?</t>
  </si>
  <si>
    <t>Takt time is calculated as the pace of producing a product or service needed to meet customer demand. It is determined using a formula and is typically measured in seconds or minutes.
To evaluate whether your current processes align with this takt time, you may wish to compare the observed **Process Time (Cycle Time)**—the time it takes to start and finish one unit of product or service—with your calculated takt time. If process times exceed takt time, the system may not be meeting customer demand efficiently, highlighting potential bottlenecks or areas of non-value-added activities.
Analyzing this alignment will help identify whether resources are appropriately balanced or if adjustments are needed to improve flow efficiency.</t>
  </si>
  <si>
    <t>Which steps in the value stream are adding the least value, and how could these processes be improved or eliminated?</t>
  </si>
  <si>
    <t>To determine which steps add the least value, evaluate each process step from the customer's perspective. Use the Value Stream Map and go to Gemba to gather real data about each step. Look for inefficiencies classified as Muda (waste) such as overproduction, waiting, unnecessary movements, or defects. Document these observations and place opportunities for improvement into a Kaizen funnel. Eliminating waste is key, so focus on automating, streamlining, or removing redundant processes identified during the mapping.</t>
  </si>
  <si>
    <t>What Kaizen bursts or improvement areas have been identified, and what would their immediate and long-term impact be?</t>
  </si>
  <si>
    <t>Kaizen bursts in the context of VSM are specific improvement opportunities identified during the mapping process. They prioritize areas of waste or bottlenecks for immediate and long-term optimization. Immediate impacts of these bursts often include streamlined workflows, reduced cycle times, and improved flow efficiency. Long-term impacts can extend to better alignment with strategic goals, reduced lead times, and enhanced collaboration of stream-aligned teams. The identification and prioritization of these bursts are integral to driving continuous improvement in the value stream as part of the PDCA (Plan-Do-Check-Act) cycle.</t>
  </si>
  <si>
    <t>What elements from the current state map need to change to achieve a future state with better cycle times and reduced waste?</t>
  </si>
  <si>
    <t>To achieve a future state with better cycle times and reduced waste, focus on the following elements from the current state map:
1. **Identify and Eliminate Bottlenecks**: Locate areas where flow stops or slows and implement process improvements to alleviate these constraints.
2. **Minimize Rework Loops**: Address error-prone steps and improve first pass yield to reduce the need for corrections.
3. **Reduce Inventory and Batching**: Focus on where materials or work-in-progress (WIP) are accumulating. Shift from batching to single-piece flow where feasible.
4. **Streamlining Duplication**: Remove redundant or duplicated steps to create a seamless process flow.
5. **Optimize Disconnects**: Address gaps in material and information flow to ensure continuous processing.
6. **Target Waste Areas**: Identify and remove activities that do not add value, such as unnecessary motion, waiting, and overproduction.
By focusing on these elements, the future state map can be redrawn to showcase a leaner process with improved cycle times and reduced waste.</t>
  </si>
  <si>
    <t>How does marketing/sales alignment fit into the overall stream, and is there opportunity for system-level improvement there?</t>
  </si>
  <si>
    <t>{
  "title":"Marketing/Sales in the Value Stream",
  "content":"Marketing and sales alignment fits into the overall value stream by serving as the initial phases in the flow of information and material. Their role is critical as they set the tone for customer expectations and feed demand into the value creation process. 
Opportunities for system-level improvement could involve identifying waste or misalignment between marketing, sales, and subsequent process steps. Using Value Stream Mapping (VSM) principles, teams can evaluate how marketing/sales activities add value from the customer's perspective and identify areas where information flow could be streamlined. For example, VSM might reveal delays or inefficiencies in handing off leads to delivery teams or inconsistencies in communicated customer requirements.
By promoting system thinking, VSM encourages teams to identify these dependencies and improve interactions across processes, thus enhancing the overall flow efficiency and customer-centric results."
}</t>
  </si>
  <si>
    <t>P.Lee
How was this question obtained and was this one of the questions asked by an individual as a prompt?</t>
  </si>
  <si>
    <t>What "islands of success" exist, and how can their strategies be scaled to eliminate the surrounding waste?</t>
  </si>
  <si>
    <t>In the context of Value Stream Mapping (VSM), 'islands of success' refer to best practices or efficient, high-performing processes within a broader system that may otherwise contain inefficiencies ('a sea of waste'). By utilizing system thinking—a fundamental principle of VSM—you can analyze the entire value creation flow to identify these successful elements and evaluate how they can be scaled or duplicated elsewhere in the system. This approach ensures that improvements are not isolated but contribute meaningfully to reducing overall waste and enhancing flow efficiency.</t>
  </si>
  <si>
    <t>How will the proposed Future State Value Stream align with enterprise-wide goals or streamline team efforts?</t>
  </si>
  <si>
    <t>The Future State Value Stream Map is designed to reflect improved processes and streamlined workflows that align with enterprise-wide goals. This step usually includes mapping out desired efficiencies in cycle time, reducing WIP, and improving flow efficiency while ensuring alignment with team charters. By implementing the mapped Future State, teams can move towards cohesive actions and more effective collaboration, as outlined in the overall value stream mapping agenda.</t>
  </si>
  <si>
    <t>https://fortive.sharepoint.com/sites/FBS/SitePages/VSM_Facilitator_Leader%20Guide.pptx</t>
  </si>
  <si>
    <t>Is the Mentorship system providing all the necessary process flow templates?</t>
  </si>
  <si>
    <t>The Mentorship system includes various TPI process flow templates such as the TPI Process Flow Gemba Questionnaire and Waste Recording Form. These templates assist in analyzing and documenting processes effectively. Additional guidance can be accessed in the Facilitator Guide and Kaizen Planning &amp; Execution documents.</t>
  </si>
  <si>
    <t>https://fortive.sharepoint.com/sites/FBS/Shared%20Documents/TPI%20Process%20Flow%20Gemba%20Questionnaire.xlsx?d=wacb1737f62984c428bf5aa80debe4d7c&amp;csf=1&amp;web=1&amp;e=5ffZ2y</t>
  </si>
  <si>
    <r>
      <rPr>
        <b/>
        <sz val="9"/>
        <color theme="1"/>
        <rFont val="Century Gothic"/>
        <family val="2"/>
      </rPr>
      <t>P.Lee &amp; Vakella</t>
    </r>
    <r>
      <rPr>
        <sz val="9"/>
        <color theme="1"/>
        <rFont val="Century Gothic"/>
        <family val="2"/>
      </rPr>
      <t xml:space="preserve">
source page not working
should include links to the templates identified.</t>
    </r>
  </si>
  <si>
    <t>Can the user download the 'TPI Process Flow Gemba Questionnaire' template seamlessly?</t>
  </si>
  <si>
    <t>### Availability
The 'TPI Process Flow Gemba Questionnaire' template is accessible via the provided SharePoint link: [Download Here](https://fortive.sharepoint.com/sites/FBS/Shared%20Documents/TPI%20Process%20Flow%20Gemba%20Questionnaire.xlsx?d=wacb1737f62984c428bf5aa80debe4d7c&amp;csf=1&amp;web=1&amp;e=5ffZ2y).
### Instructions
1. **Click the above link**: It directs you to the specified page where you can view and download the template.
2. **Verify Access**: Ensure you have the necessary permissions to access the SharePoint directory associated with this document.
3. **Technical Notes**: If you experience access or download issues, check your login credentials for the SharePoint platform.</t>
  </si>
  <si>
    <r>
      <rPr>
        <b/>
        <sz val="9"/>
        <color theme="1"/>
        <rFont val="Century Gothic"/>
        <family val="2"/>
      </rPr>
      <t>P.Lee &amp; Vakella</t>
    </r>
    <r>
      <rPr>
        <sz val="9"/>
        <color theme="1"/>
        <rFont val="Century Gothic"/>
        <family val="2"/>
      </rPr>
      <t xml:space="preserve">
Need to make sure the files will are read only</t>
    </r>
  </si>
  <si>
    <t>Is the questionnaire's link accessible and functional?</t>
  </si>
  <si>
    <t>The document does not provide a direct functional hyperlink to the Gemba Questionnaire. Instead, it outlines questions to assess process steps during a Gemba walk.</t>
  </si>
  <si>
    <t>BAD QUESTION, nothing to test here, don’t use for testing</t>
  </si>
  <si>
    <t>Can users upload their completed questionnaires?</t>
  </si>
  <si>
    <t>The TPI process supports the use of specific forms like the Waste Recording Form and Gemba Questionnaire. However, there is no information in the provided documents indicating that users can upload completed questionnaires to an online platform. It is recommended to keep these documents for reference and process analysis during the Kaizen event.</t>
  </si>
  <si>
    <t>What is the intent of this question?  Why will someone upload the questionaire?</t>
  </si>
  <si>
    <t>Are users able to input data directly into the mentor platform during the Gemba walkthrough?</t>
  </si>
  <si>
    <t>The Gemba walkthrough involves observing the process at 'the real place' where activities occur. Users typically collect data manually or using designated tools during the walkthrough. Inputting data directly into the mentor platform would depend on the tools and systems provided for that specific Gemba walk, such as a Gemba packet or digital tools prepared beforehand.</t>
  </si>
  <si>
    <t>We don’t have this capability.  User should download the file and save it somewhere.</t>
  </si>
  <si>
    <t>Does the mentor display accurate questions based on the TPI Process Flow?</t>
  </si>
  <si>
    <t>Yes, the mentor's questions align with the TPI Process Flow stages and are designed to gather detailed information specific to each stage. These questions systematically address areas like defining the process, identifying wastes, verifying countermeasures, and ensuring sustainment, ensuring alignment with the TPI Kaizen process framework.</t>
  </si>
  <si>
    <t>https://fortive.sharepoint.com/:x:/r/sites/FBS/_layouts/15/Doc.aspx?sourcedoc=%7BACB1737F-6298-4C42-8BF5-AA80DEBE4D7C%7D&amp;file=TPI%20Process%20Flow%20Gemba%20Questionnaire.xlsx&amp;action=default&amp;mobileredirect=true</t>
  </si>
  <si>
    <t>We should not be asking these questions because we havent have any design discussion on this.</t>
  </si>
  <si>
    <t>Are the questions structured to align with the transactional improvement goals?</t>
  </si>
  <si>
    <t>Yes, the questions in TPI are structured to align with the goals of transactional improvement. They focus on identifying inefficiencies using the 8 wastes framework, diagnosing bottlenecks, capturing baseline metrics, and validating countermeasures for sustainable improvement.</t>
  </si>
  <si>
    <t>Is the system validating input entries correctly?</t>
  </si>
  <si>
    <t>This question seems to align with identifying **Quality Defects** (one of the 8 wastes) by probing for errors or rework in the process. Based on your inquiry, it appears you may be in **Stage 2 – Investigate the Wastes**.
### Detected Stage: Stage 2 – Investigate the Wastes
### What I Know About Your Progress:
- You're identifying if system-validation inefficiencies could be causing Quality Defects in input entries.
### Next Steps:
To move forward, let's dig deeper into diagnosing this waste more comprehensively:
1. What specific types of input errors (e.g., missing, incorrect, or duplicate information) are being encountered?
2. How frequently do these errors occur, and what are the consequences (e.g., rework, project delays)?
3. Are there any specific parts of the system where the validation process is weaker or more problematic?
Once you document Quality Defects fully, we can proceed to map out other waste types or transition to testing countermeasures. Let me know your findings!</t>
  </si>
  <si>
    <t>https://fortive.sharepoint.com/:p:/r/sites/FTV-TheFort/_layouts/15/Doc.aspx?sourcedoc=%7BA210F317-23A9-4204-ACF5-21D339C9CEA6%7D&amp;file=transactional-process-improvement-tied%20to%20elearning.pptx&amp;action=edit&amp;mobileredirect=true</t>
  </si>
  <si>
    <t>Are conditional questions displayed as per the process stage?</t>
  </si>
  <si>
    <t>Yes, questions and guidance are tailored to the user's current process stage to ensure relevance. For example, during Stage 1, questions focus on defining the problem and gathering baseline metrics, while in Stage 2, questions target identifying specific types of waste in the process. The conditional flow ensures smooth stage progression.</t>
  </si>
  <si>
    <t>Can the mentor integrate questions from the '5S Daily Checklist' template for overlap processes?</t>
  </si>
  <si>
    <t>The '5S Daily Checklist' template located [here](https://fortive.sharepoint.com/sites/FBS/Shared%20Documents/5S/4%20Doc%20needed%20for%205S/2%20-%205S%20Checklist%203%20Shift.xlsx?d=wadb491d9ce164cccbfa9071dcfcc4194&amp;csf=1&amp;web=1&amp;e=TWIjWK) can be reviewed and customized to include questions that cover overlapping processes.
### Steps for Integration:
1. **Identify Overlapping Processes**: Understand the specific processes that share responsibilities or tasks.
2. **Review Checklist Sections**: Ensure each of the 5S areas (Sort, Set in Order, Shine, Standardize, Sustain) has relevant questions aligned with these overlapping processes.
3. **Insert Custom Questions**: Edit the template or add a new section specifically for overlap-related queries, ensuring it's clear and actionable.
4. **Review Before Use**: Validate with all involved teams to ensure clarity and effectiveness.
For any additional changes or broader integration in overlapping processes, consider feedback loops to refine the checklist over time.</t>
  </si>
  <si>
    <t>https://fortive.sharepoint.com/sites/FBS/Shared%20Documents/5S/4%20Doc%20needed%20for%205S/2%20-%205S%20Checklist%203%20Shift.xlsx?d=wadb491d9ce164cccbfa9071dcfcc4194&amp;csf=1&amp;web=1&amp;e=TWIjWK</t>
  </si>
  <si>
    <t>Do suggested next steps from the mentor align with input responses?</t>
  </si>
  <si>
    <t>Mentor's suggested next steps should align with user input responses by addressing the user's current stage in the TPI Kaizen process, targeting specific challenges or gaps identified, and guiding actions relevant to progressing to the next stage.</t>
  </si>
  <si>
    <t>Is the mentor generating accurate feedback based on completed questionnaires?</t>
  </si>
  <si>
    <t>To determine your stage in the TPI Kaizen process, I need more context about your current activities and challenges. Based on your input about feedback, let me ask:
- Could you clarify if you're currently analyzing the feedback process (Stage 1 or 2), testing solutions to improve feedback accuracy (Stage 3), or ensuring the process remains effective (Stage 4)?
- What are the specific issues or inefficiencies you've identified regarding feedback generation?
Once I have more details, I can provide tailored guidance for your current stage.</t>
  </si>
  <si>
    <t>Does the system export results and suggestions in a usable format?</t>
  </si>
  <si>
    <t>You appear to be asking a direct question about the TPI system's ability to export results and suggestions. This is not explicitly detailed in the provided documents, so I need further clarification of your context. If this relates to recording improvement outcomes or reporting progress, tools like Value Stream Mapping and Waste Recording Forms are commonly used to record and communicate findings within TPI processes. 
Could you confirm if you're asking about integrating TPI results into reporting, or if you're at a specific stage in the TPI process and need guidance?</t>
  </si>
  <si>
    <t>Are historical data and recommendations retrievable?</t>
  </si>
  <si>
    <t>TPI emphasizes maintaining documentation for all stages of the process, such as baseline metrics, identified wastes, and tested countermeasures. This ensures that historical data and recommendations are retrievable for future analysis or audits. Such documentation typically includes Value Stream Maps, Waste Recording Forms, and KPI tracking dashboards, which serve as historical records.</t>
  </si>
  <si>
    <t>Are the templates and questions available across devices and platforms?</t>
  </si>
  <si>
    <t>Templates and questions for Transactional Process Improvement (TPI), such as the TPI Process Flow Gemba Questionnaire, are designed to be widely accessible. Special IT considerations ensure these resources can be accessed in various ways and on different platforms for convenience and efficiency.</t>
  </si>
  <si>
    <t>Is the navigation intuitive for users conducting a TPI process walkthrough?</t>
  </si>
  <si>
    <t>The TPI process emphasizes using structured tools and templates, such as the Value Stream Map and the Waste Recording Form, to guide users through each stage. These resources are designed to ensure clarity and ease of use for identifying inefficiencies, testing countermeasures, and sustaining improvements.</t>
  </si>
  <si>
    <t>Does the mentor offer troubleshooting tips when errors are encountered?</t>
  </si>
  <si>
    <t>Based on the provided TPI Kaizen framework:
The role of the mentor is to guide users through improving transactional processes systematically. While not explicitly labeled as "troubleshooting," the mentor does provide targeted guidance and probing questions at each stage to address inefficiencies or barriers (e.g., investigating wastes, verifying countermeasures). 
For example, during Stage 3 - Verify Countermeasures:
- The mentor would explore questions if solutions face issues, such as: "What risks or side effects were identified during testing?" or "Have you re-validated the countermeasure's effectiveness against the baseline metrics?"
If you'd like, could you clarify an error scenario so we can delve deeper into possible troubleshooting steps?</t>
  </si>
  <si>
    <t>Does the mentor handle concurrent users efficiently?</t>
  </si>
  <si>
    <t>The mentor is designed to interact with users on a one-to-one basis, maintaining a focused and personalized dialogue. Concurrent users are handled independently, with the context of each conversation preserved without interference.</t>
  </si>
  <si>
    <t>Are there any delays in template loading during heavy usage?</t>
  </si>
  <si>
    <t>It seems like you're assessing a possible "Waiting" waste in Stage 2 of the TPI Kaizen process. Could you clarify which process you're analyzing and provide context such as how these templates are used, who uses them, and any metrics you've observed about delay times during heavy usage?</t>
  </si>
  <si>
    <t>Are modifications or updates to the questionnaire reflected immediately?</t>
  </si>
  <si>
    <t>The information provided does not specify whether modifications or updates to the TPI Process Flow Gemba Questionnaire are reflected immediately. It would likely depend on the platform or system used for managing the questionnaire. Shared digital versions typically allow for real-time updates, but this should be verified with the specific tool or system being used.</t>
  </si>
  <si>
    <t>Is the system adhering to organizational data privacy policies?</t>
  </si>
  <si>
    <t>It seems like your inquiry is regarding adherence to data privacy policies, which may be relevant to analyzing constraints or quality defects in Stage 1 or 2 of the TPI Kaizen process. Please clarify if this question is related to assessing the current state of a process within the framework of TPI or if you're seeking factual guidance on privacy assessments. 
If you're inquiring about process adherence to organizational data privacy policies specifically, consider these questions:
- Is ensuring data privacy compliance part of the constraints or key performance indicators (KPIs) in your process?
- Are there documented instances where data privacy requirements are not met, contributing to defects or inefficiencies? 
Could you share more details for me to pinpoint the relevance to your process improvement efforts?</t>
  </si>
  <si>
    <t>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</si>
</sst>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quot;%&quot;"/>
    <numFmt numFmtId="166" formatCode="0.0"/>
  </numFmts>
  <fonts count="27">
    <font>
      <sz val="11"/>
      <color theme="1"/>
      <name val="Aptos Narrow"/>
      <family val="2"/>
      <scheme val="minor"/>
    </font>
    <font>
      <sz val="10"/>
      <color theme="1"/>
      <name val="Century Gothic"/>
      <family val="2"/>
    </font>
    <font>
      <sz val="10"/>
      <color theme="1"/>
      <name val="Century Gothic"/>
      <family val="2"/>
    </font>
    <font>
      <sz val="11"/>
      <color theme="1"/>
      <name val="Century Gothic"/>
      <family val="2"/>
    </font>
    <font>
      <b/>
      <sz val="11"/>
      <color theme="1"/>
      <name val="Century Gothic"/>
      <family val="2"/>
    </font>
    <font>
      <u/>
      <sz val="11"/>
      <color theme="10"/>
      <name val="Aptos Narrow"/>
      <family val="2"/>
      <scheme val="minor"/>
    </font>
    <font>
      <b/>
      <sz val="11"/>
      <color rgb="FFFFFFFF"/>
      <name val="Aptos Narrow"/>
      <family val="2"/>
    </font>
    <font>
      <b/>
      <sz val="11"/>
      <name val="Aptos Narrow"/>
      <family val="2"/>
    </font>
    <font>
      <b/>
      <sz val="14"/>
      <color rgb="FFFFFFFF"/>
      <name val="Aptos Narrow"/>
      <family val="2"/>
    </font>
    <font>
      <b/>
      <sz val="18"/>
      <color rgb="FFFFFFFF"/>
      <name val="Aptos Narrow"/>
      <family val="2"/>
    </font>
    <font>
      <b/>
      <sz val="20"/>
      <color rgb="FFFFFFFF"/>
      <name val="Aptos Narrow"/>
      <family val="2"/>
    </font>
    <font>
      <i/>
      <sz val="11"/>
      <color rgb="FF666666"/>
      <name val="Aptos Narrow"/>
      <family val="2"/>
    </font>
    <font>
      <sz val="11"/>
      <color rgb="FF2C3E50"/>
      <name val="Aptos Narrow"/>
      <family val="2"/>
    </font>
    <font>
      <i/>
      <sz val="10"/>
      <color rgb="FF666666"/>
      <name val="Aptos Narrow"/>
      <family val="2"/>
    </font>
    <font>
      <b/>
      <sz val="12"/>
      <color rgb="FFE74C3C"/>
      <name val="Aptos Narrow"/>
      <family val="2"/>
    </font>
    <font>
      <sz val="9"/>
      <color rgb="FF2C3E50"/>
      <name val="Aptos Narrow"/>
      <family val="2"/>
    </font>
    <font>
      <b/>
      <sz val="10"/>
      <color theme="1"/>
      <name val="Century Gothic"/>
      <family val="2"/>
    </font>
    <font>
      <sz val="9"/>
      <color theme="1"/>
      <name val="Century Gothic"/>
      <family val="2"/>
    </font>
    <font>
      <b/>
      <sz val="9"/>
      <color theme="1"/>
      <name val="Century Gothic"/>
      <family val="2"/>
    </font>
    <font>
      <b/>
      <u/>
      <sz val="10"/>
      <color theme="1"/>
      <name val="Century Gothic"/>
      <family val="2"/>
    </font>
    <font>
      <sz val="10"/>
      <color theme="3"/>
      <name val="Century Gothic"/>
      <family val="2"/>
    </font>
    <font>
      <u/>
      <sz val="10"/>
      <color theme="10"/>
      <name val="Century Gothic"/>
      <family val="2"/>
    </font>
    <font>
      <sz val="10"/>
      <color rgb="FFFF0000"/>
      <name val="Century Gothic"/>
      <family val="2"/>
    </font>
    <font>
      <b/>
      <sz val="10"/>
      <color rgb="FFFF0000"/>
      <name val="Century Gothic"/>
      <family val="2"/>
    </font>
    <font>
      <sz val="11"/>
      <name val="Aptos Narrow"/>
      <family val="2"/>
      <scheme val="minor"/>
    </font>
    <font>
      <u/>
      <sz val="11"/>
      <color theme="1"/>
      <name val="Aptos Narrow"/>
      <family val="2"/>
      <scheme val="minor"/>
    </font>
    <font>
      <sz val="9"/>
      <color theme="1"/>
      <name val="Aptos Narrow"/>
      <family val="2"/>
      <scheme val="minor"/>
    </font>
  </fonts>
  <fills count="24">
    <fill>
      <patternFill patternType="none"/>
    </fill>
    <fill>
      <patternFill patternType="gray125"/>
    </fill>
    <fill>
      <patternFill patternType="solid">
        <fgColor rgb="FFFFFF00"/>
        <bgColor indexed="64"/>
      </patternFill>
    </fill>
    <fill>
      <patternFill patternType="solid">
        <fgColor rgb="FF4472C4"/>
        <bgColor rgb="FF4472C4"/>
      </patternFill>
    </fill>
    <fill>
      <patternFill patternType="solid">
        <fgColor rgb="FF70AD47"/>
        <bgColor rgb="FF70AD47"/>
      </patternFill>
    </fill>
    <fill>
      <patternFill patternType="solid">
        <fgColor rgb="FF1F4E79"/>
        <bgColor rgb="FF1F4E79"/>
      </patternFill>
    </fill>
    <fill>
      <patternFill patternType="solid">
        <fgColor rgb="FFE74C3C"/>
        <bgColor rgb="FFE74C3C"/>
      </patternFill>
    </fill>
    <fill>
      <patternFill patternType="solid">
        <fgColor rgb="FFC0392B"/>
        <bgColor rgb="FFC0392B"/>
      </patternFill>
    </fill>
    <fill>
      <patternFill patternType="solid">
        <fgColor rgb="FF9B59B6"/>
        <bgColor rgb="FF9B59B6"/>
      </patternFill>
    </fill>
    <fill>
      <patternFill patternType="solid">
        <fgColor rgb="FF8E44AD"/>
        <bgColor rgb="FF8E44AD"/>
      </patternFill>
    </fill>
    <fill>
      <patternFill patternType="solid">
        <fgColor rgb="FF2C3E50"/>
        <bgColor rgb="FF2C3E50"/>
      </patternFill>
    </fill>
    <fill>
      <patternFill patternType="solid">
        <fgColor rgb="FFE8F5E8"/>
        <bgColor rgb="FFE8F5E8"/>
      </patternFill>
    </fill>
    <fill>
      <patternFill patternType="solid">
        <fgColor rgb="FFE8F0FF"/>
        <bgColor rgb="FFE8F0FF"/>
      </patternFill>
    </fill>
    <fill>
      <patternFill patternType="solid">
        <fgColor rgb="FFFFF0E8"/>
        <bgColor rgb="FFFFF0E8"/>
      </patternFill>
    </fill>
    <fill>
      <patternFill patternType="solid">
        <fgColor rgb="FFD1E7DD"/>
        <bgColor rgb="FFD1E7DD"/>
      </patternFill>
    </fill>
    <fill>
      <patternFill patternType="solid">
        <fgColor rgb="FFD4EDDA"/>
        <bgColor rgb="FFD4EDDA"/>
      </patternFill>
    </fill>
    <fill>
      <patternFill patternType="solid">
        <fgColor rgb="FFFFD700"/>
        <bgColor rgb="FFFFD700"/>
      </patternFill>
    </fill>
    <fill>
      <patternFill patternType="solid">
        <fgColor rgb="FFC0C0C0"/>
        <bgColor rgb="FFC0C0C0"/>
      </patternFill>
    </fill>
    <fill>
      <patternFill patternType="solid">
        <fgColor rgb="FFCD7F32"/>
        <bgColor rgb="FFCD7F32"/>
      </patternFill>
    </fill>
    <fill>
      <patternFill patternType="solid">
        <fgColor rgb="FFE8F4FD"/>
        <bgColor rgb="FFE8F4FD"/>
      </patternFill>
    </fill>
    <fill>
      <patternFill patternType="solid">
        <fgColor rgb="FFFFFFCC"/>
        <bgColor indexed="64"/>
      </patternFill>
    </fill>
    <fill>
      <patternFill patternType="solid">
        <fgColor rgb="FFFF7C80"/>
        <bgColor indexed="64"/>
      </patternFill>
    </fill>
    <fill>
      <patternFill patternType="solid">
        <fgColor theme="9" tint="0.79998168889431442"/>
        <bgColor indexed="64"/>
      </patternFill>
    </fill>
    <fill>
      <patternFill patternType="solid">
        <fgColor theme="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5" fillId="0" borderId="0"/>
  </cellStyleXfs>
  <cellXfs count="87">
    <xf numFmtId="0" fontId="0" fillId="0" borderId="0" xfId="0"/>
    <xf numFmtId="0" fontId="3" fillId="0" borderId="0" xfId="0" applyFont="1" applyAlignment="1">
      <alignment horizontal="center" vertical="center"/>
    </xf>
    <xf numFmtId="0" fontId="3" fillId="0" borderId="0" xfId="0" applyFont="1" applyAlignment="1">
      <alignment horizontal="left" vertical="center"/>
    </xf>
    <xf numFmtId="0" fontId="0" fillId="0" borderId="0" xfId="0" applyAlignment="1">
      <alignment wrapText="1"/>
    </xf>
    <xf numFmtId="0" fontId="0" fillId="0" borderId="0" xfId="0" applyAlignment="1">
      <alignment vertical="center" wrapText="1"/>
    </xf>
    <xf numFmtId="0" fontId="5" fillId="0" borderId="0" xfId="1" applyAlignment="1">
      <alignment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wrapText="1"/>
    </xf>
    <xf numFmtId="0" fontId="4" fillId="2" borderId="1" xfId="0" applyFont="1" applyFill="1" applyBorder="1" applyAlignment="1">
      <alignment horizontal="left" vertical="center"/>
    </xf>
    <xf numFmtId="0" fontId="0" fillId="0" borderId="0" xfId="0" applyAlignment="1">
      <alignment horizontal="left"/>
    </xf>
    <xf numFmtId="0" fontId="5" fillId="0" borderId="0" xfId="1" applyAlignment="1">
      <alignment wrapText="1"/>
    </xf>
    <xf numFmtId="0" fontId="6" fillId="3" borderId="0" xfId="0" applyFont="1" applyFill="1" applyAlignment="1">
      <alignment horizontal="center"/>
    </xf>
    <xf numFmtId="0" fontId="7" fillId="0" borderId="0" xfId="0" applyFont="1"/>
    <xf numFmtId="0" fontId="0" fillId="11" borderId="0" xfId="0" applyFill="1"/>
    <xf numFmtId="0" fontId="0" fillId="12" borderId="0" xfId="0" applyFill="1"/>
    <xf numFmtId="0" fontId="0" fillId="13" borderId="0" xfId="0" applyFill="1"/>
    <xf numFmtId="0" fontId="7" fillId="14" borderId="0" xfId="0" applyFont="1" applyFill="1" applyAlignment="1">
      <alignment horizontal="center"/>
    </xf>
    <xf numFmtId="0" fontId="6" fillId="7" borderId="0" xfId="0" applyFont="1" applyFill="1" applyAlignment="1">
      <alignment horizontal="center"/>
    </xf>
    <xf numFmtId="0" fontId="0" fillId="15" borderId="0" xfId="0" applyFill="1"/>
    <xf numFmtId="0" fontId="6" fillId="9" borderId="0" xfId="0" applyFont="1" applyFill="1" applyAlignment="1">
      <alignment horizontal="center"/>
    </xf>
    <xf numFmtId="0" fontId="12" fillId="0" borderId="0" xfId="0" applyFont="1"/>
    <xf numFmtId="0" fontId="7" fillId="19" borderId="0" xfId="0" applyFont="1" applyFill="1"/>
    <xf numFmtId="0" fontId="12" fillId="19" borderId="0" xfId="0" applyFont="1" applyFill="1"/>
    <xf numFmtId="164" fontId="0" fillId="0" borderId="0" xfId="0" applyNumberFormat="1"/>
    <xf numFmtId="165" fontId="0" fillId="11" borderId="0" xfId="0" applyNumberFormat="1" applyFill="1"/>
    <xf numFmtId="165" fontId="0" fillId="12" borderId="0" xfId="0" applyNumberFormat="1" applyFill="1"/>
    <xf numFmtId="165" fontId="0" fillId="13" borderId="0" xfId="0" applyNumberFormat="1" applyFill="1"/>
    <xf numFmtId="0" fontId="7" fillId="14" borderId="0" xfId="0" applyFont="1" applyFill="1"/>
    <xf numFmtId="165" fontId="7" fillId="14" borderId="0" xfId="0" applyNumberFormat="1" applyFont="1" applyFill="1"/>
    <xf numFmtId="0" fontId="6" fillId="8" borderId="0" xfId="0" applyFont="1" applyFill="1"/>
    <xf numFmtId="166" fontId="0" fillId="0" borderId="0" xfId="0" applyNumberFormat="1"/>
    <xf numFmtId="165" fontId="0" fillId="0" borderId="0" xfId="0" applyNumberFormat="1"/>
    <xf numFmtId="0" fontId="14" fillId="0" borderId="0" xfId="0" applyFont="1"/>
    <xf numFmtId="0" fontId="15" fillId="0" borderId="0" xfId="0" applyFont="1"/>
    <xf numFmtId="0" fontId="0" fillId="16" borderId="0" xfId="0" applyFill="1" applyAlignment="1">
      <alignment horizontal="center"/>
    </xf>
    <xf numFmtId="0" fontId="0" fillId="17" borderId="0" xfId="0" applyFill="1" applyAlignment="1">
      <alignment horizontal="center"/>
    </xf>
    <xf numFmtId="0" fontId="0" fillId="18" borderId="0" xfId="0" applyFill="1" applyAlignment="1">
      <alignment horizontal="center"/>
    </xf>
    <xf numFmtId="0" fontId="17" fillId="0" borderId="2" xfId="0" applyFont="1" applyBorder="1" applyAlignment="1">
      <alignment horizontal="left" vertical="top" wrapText="1"/>
    </xf>
    <xf numFmtId="0" fontId="16" fillId="2" borderId="2" xfId="0" applyFont="1" applyFill="1" applyBorder="1" applyAlignment="1">
      <alignment horizontal="left" vertical="center"/>
    </xf>
    <xf numFmtId="0" fontId="2" fillId="0" borderId="2" xfId="0" applyFont="1" applyBorder="1" applyAlignment="1">
      <alignment horizontal="left" vertical="center" wrapText="1"/>
    </xf>
    <xf numFmtId="0" fontId="2" fillId="0" borderId="2" xfId="0" applyFont="1" applyBorder="1" applyAlignment="1">
      <alignment horizontal="left" vertical="center"/>
    </xf>
    <xf numFmtId="0" fontId="17" fillId="0" borderId="2" xfId="0" applyFont="1" applyBorder="1" applyAlignment="1">
      <alignment horizontal="left" vertical="center" wrapText="1"/>
    </xf>
    <xf numFmtId="0" fontId="16" fillId="2" borderId="2" xfId="0" applyFont="1" applyFill="1" applyBorder="1" applyAlignment="1">
      <alignment horizontal="left" vertical="center" wrapText="1"/>
    </xf>
    <xf numFmtId="0" fontId="17" fillId="0" borderId="2" xfId="0" applyFont="1" applyBorder="1" applyAlignment="1">
      <alignment wrapText="1"/>
    </xf>
    <xf numFmtId="0" fontId="16" fillId="2" borderId="3" xfId="0" applyFont="1" applyFill="1" applyBorder="1" applyAlignment="1">
      <alignment horizontal="center" vertical="center"/>
    </xf>
    <xf numFmtId="0" fontId="16" fillId="2" borderId="2" xfId="0" applyFont="1" applyFill="1" applyBorder="1" applyAlignment="1">
      <alignment horizontal="center" vertical="center"/>
    </xf>
    <xf numFmtId="0" fontId="16" fillId="2" borderId="4" xfId="0" applyFont="1" applyFill="1" applyBorder="1" applyAlignment="1">
      <alignment horizontal="left" vertical="center"/>
    </xf>
    <xf numFmtId="0" fontId="16" fillId="2" borderId="1" xfId="0" applyFont="1" applyFill="1" applyBorder="1" applyAlignment="1">
      <alignment horizontal="left" vertical="center"/>
    </xf>
    <xf numFmtId="0" fontId="2" fillId="0" borderId="0" xfId="0" applyFont="1" applyAlignment="1">
      <alignment horizontal="center" vertical="center"/>
    </xf>
    <xf numFmtId="0" fontId="21" fillId="0" borderId="2" xfId="1" applyFont="1" applyBorder="1" applyAlignment="1">
      <alignment horizontal="left" vertical="center" wrapText="1"/>
    </xf>
    <xf numFmtId="0" fontId="2" fillId="0" borderId="2" xfId="0" applyFont="1" applyBorder="1" applyAlignment="1">
      <alignment horizontal="center" vertical="center"/>
    </xf>
    <xf numFmtId="0" fontId="18" fillId="2" borderId="2" xfId="0" applyFont="1" applyFill="1" applyBorder="1" applyAlignment="1">
      <alignment horizontal="left" vertical="center" wrapText="1"/>
    </xf>
    <xf numFmtId="0" fontId="16" fillId="0" borderId="2" xfId="0" applyFont="1" applyBorder="1" applyAlignment="1">
      <alignment horizontal="left" vertical="center"/>
    </xf>
    <xf numFmtId="0" fontId="1" fillId="0" borderId="2" xfId="0" applyFont="1" applyBorder="1" applyAlignment="1">
      <alignment horizontal="left" vertical="center" wrapText="1"/>
    </xf>
    <xf numFmtId="0" fontId="1" fillId="0" borderId="2" xfId="0" applyFont="1" applyBorder="1" applyAlignment="1">
      <alignment horizontal="left" vertical="center"/>
    </xf>
    <xf numFmtId="0" fontId="0" fillId="0" borderId="0" xfId="0" applyAlignment="1">
      <alignment horizontal="center" vertical="center" wrapText="1"/>
    </xf>
    <xf numFmtId="0" fontId="5" fillId="0" borderId="0" xfId="1"/>
    <xf numFmtId="0" fontId="3" fillId="21" borderId="0" xfId="0" applyFont="1" applyFill="1" applyAlignment="1">
      <alignment horizontal="center" vertical="center"/>
    </xf>
    <xf numFmtId="0" fontId="3" fillId="0" borderId="0" xfId="0" applyFont="1" applyAlignment="1">
      <alignment horizontal="left" vertical="center" wrapText="1"/>
    </xf>
    <xf numFmtId="0" fontId="0" fillId="0" borderId="0" xfId="0" applyAlignment="1">
      <alignment horizontal="left" vertical="center" wrapText="1"/>
    </xf>
    <xf numFmtId="0" fontId="3" fillId="22" borderId="0" xfId="0" applyFont="1" applyFill="1" applyAlignment="1">
      <alignment horizontal="center" vertical="center"/>
    </xf>
    <xf numFmtId="0" fontId="1" fillId="0" borderId="0" xfId="0" applyFont="1" applyAlignment="1">
      <alignment horizontal="center" vertical="center"/>
    </xf>
    <xf numFmtId="0" fontId="1" fillId="21" borderId="2" xfId="0" applyFont="1" applyFill="1" applyBorder="1" applyAlignment="1">
      <alignment horizontal="center" vertical="center"/>
    </xf>
    <xf numFmtId="0" fontId="1" fillId="20" borderId="2" xfId="0" applyFont="1" applyFill="1" applyBorder="1" applyAlignment="1">
      <alignment horizontal="center" vertical="center"/>
    </xf>
    <xf numFmtId="0" fontId="1" fillId="22" borderId="2" xfId="0" applyFont="1" applyFill="1" applyBorder="1" applyAlignment="1">
      <alignment horizontal="center" vertical="center"/>
    </xf>
    <xf numFmtId="0" fontId="1" fillId="0" borderId="2" xfId="0" applyFont="1" applyBorder="1" applyAlignment="1">
      <alignment wrapText="1"/>
    </xf>
    <xf numFmtId="0" fontId="3" fillId="20" borderId="0" xfId="0" applyFont="1" applyFill="1" applyAlignment="1">
      <alignment horizontal="center" vertical="center"/>
    </xf>
    <xf numFmtId="0" fontId="4" fillId="22" borderId="0" xfId="0" applyFont="1" applyFill="1" applyAlignment="1">
      <alignment horizontal="center" vertical="center"/>
    </xf>
    <xf numFmtId="0" fontId="3" fillId="20" borderId="0" xfId="0" applyFont="1" applyFill="1" applyAlignment="1">
      <alignment horizontal="left" vertical="center" wrapText="1"/>
    </xf>
    <xf numFmtId="0" fontId="5" fillId="20" borderId="0" xfId="1" applyFill="1" applyAlignment="1">
      <alignment vertical="center" wrapText="1"/>
    </xf>
    <xf numFmtId="0" fontId="3" fillId="23" borderId="0" xfId="0" applyFont="1" applyFill="1" applyAlignment="1">
      <alignment horizontal="left" vertical="center"/>
    </xf>
    <xf numFmtId="0" fontId="4" fillId="21" borderId="0" xfId="0" applyFont="1" applyFill="1" applyAlignment="1">
      <alignment horizontal="center" vertical="center"/>
    </xf>
    <xf numFmtId="0" fontId="0" fillId="0" borderId="0" xfId="0" applyAlignment="1">
      <alignment horizontal="left" vertical="center"/>
    </xf>
    <xf numFmtId="0" fontId="0" fillId="0" borderId="0" xfId="0" applyAlignment="1">
      <alignment vertical="center"/>
    </xf>
    <xf numFmtId="0" fontId="0" fillId="0" borderId="0" xfId="0" applyAlignment="1">
      <alignment horizontal="center" vertical="center"/>
    </xf>
    <xf numFmtId="0" fontId="17" fillId="0" borderId="0" xfId="0" applyFont="1" applyAlignment="1">
      <alignment horizontal="center" vertical="center" wrapText="1"/>
    </xf>
    <xf numFmtId="0" fontId="18" fillId="2" borderId="1" xfId="0" applyFont="1" applyFill="1" applyBorder="1" applyAlignment="1">
      <alignment horizontal="left" vertical="center" wrapText="1"/>
    </xf>
    <xf numFmtId="0" fontId="26" fillId="0" borderId="0" xfId="0" applyFont="1" applyAlignment="1">
      <alignment wrapText="1"/>
    </xf>
    <xf numFmtId="0" fontId="9" fillId="5" borderId="0" xfId="0" applyFont="1" applyFill="1" applyAlignment="1">
      <alignment horizontal="center" vertical="center"/>
    </xf>
    <xf numFmtId="0" fontId="13" fillId="0" borderId="0" xfId="0" applyFont="1" applyAlignment="1">
      <alignment horizontal="center"/>
    </xf>
    <xf numFmtId="0" fontId="10" fillId="5" borderId="0" xfId="0" applyFont="1" applyFill="1" applyAlignment="1">
      <alignment horizontal="center" vertical="center"/>
    </xf>
    <xf numFmtId="0" fontId="11" fillId="0" borderId="0" xfId="0" applyFont="1" applyAlignment="1">
      <alignment horizontal="center"/>
    </xf>
    <xf numFmtId="0" fontId="0" fillId="0" borderId="0" xfId="0" applyAlignment="1"/>
    <xf numFmtId="0" fontId="8" fillId="4" borderId="0" xfId="0" applyFont="1" applyFill="1" applyAlignment="1"/>
    <xf numFmtId="0" fontId="8" fillId="10" borderId="0" xfId="0" applyFont="1" applyFill="1" applyAlignment="1"/>
    <xf numFmtId="0" fontId="8" fillId="6" borderId="0" xfId="0" applyFont="1" applyFill="1" applyAlignment="1"/>
    <xf numFmtId="0" fontId="8" fillId="8" borderId="0" xfId="0" applyFont="1" applyFill="1" applyAlignment="1"/>
  </cellXfs>
  <cellStyles count="2">
    <cellStyle name="Hyperlink" xfId="1" builtinId="8"/>
    <cellStyle name="Normal" xfId="0" builtinId="0"/>
  </cellStyles>
  <dxfs count="0"/>
  <tableStyles count="0" defaultTableStyle="TableStyleMedium2" defaultPivotStyle="PivotStyleMedium9"/>
  <colors>
    <mruColors>
      <color rgb="FFFF7C8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Core Mentors - Prompt Counts (Auto-Updating)</a:t>
            </a:r>
          </a:p>
        </c:rich>
      </c:tx>
      <c:overlay val="0"/>
    </c:title>
    <c:autoTitleDeleted val="0"/>
    <c:plotArea>
      <c:layout/>
      <c:barChart>
        <c:barDir val="col"/>
        <c:grouping val="clustered"/>
        <c:varyColors val="0"/>
        <c:ser>
          <c:idx val="0"/>
          <c:order val="0"/>
          <c:tx>
            <c:strRef>
              <c:f>'Dynamic Dashboard'!$B$7</c:f>
              <c:strCache>
                <c:ptCount val="1"/>
                <c:pt idx="0">
                  <c:v>Prompt Count</c:v>
                </c:pt>
              </c:strCache>
            </c:strRef>
          </c:tx>
          <c:spPr>
            <a:ln>
              <a:prstDash val="solid"/>
            </a:ln>
          </c:spPr>
          <c:invertIfNegative val="0"/>
          <c:cat>
            <c:strRef>
              <c:f>'Dynamic Dashboard'!$A$8:$A$10</c:f>
              <c:strCache>
                <c:ptCount val="3"/>
                <c:pt idx="0">
                  <c:v>PSP</c:v>
                </c:pt>
                <c:pt idx="1">
                  <c:v>VSM</c:v>
                </c:pt>
                <c:pt idx="2">
                  <c:v>TPI</c:v>
                </c:pt>
              </c:strCache>
            </c:strRef>
          </c:cat>
          <c:val>
            <c:numRef>
              <c:f>'Dynamic Dashboard'!$B$8:$B$10</c:f>
              <c:numCache>
                <c:formatCode>General</c:formatCode>
                <c:ptCount val="3"/>
                <c:pt idx="0">
                  <c:v>44</c:v>
                </c:pt>
                <c:pt idx="1">
                  <c:v>31</c:v>
                </c:pt>
                <c:pt idx="2">
                  <c:v>21</c:v>
                </c:pt>
              </c:numCache>
            </c:numRef>
          </c:val>
          <c:extLst>
            <c:ext xmlns:c16="http://schemas.microsoft.com/office/drawing/2014/chart" uri="{C3380CC4-5D6E-409C-BE32-E72D297353CC}">
              <c16:uniqueId val="{00000000-5D48-3A45-A77B-C561B62E2E20}"/>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IN"/>
                  <a:t>Mentor Types</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IN"/>
                  <a:t>Number of Prompts</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Mentor Distribution (Auto-Updating)</a:t>
            </a:r>
          </a:p>
        </c:rich>
      </c:tx>
      <c:layout>
        <c:manualLayout>
          <c:xMode val="edge"/>
          <c:yMode val="edge"/>
          <c:x val="0.14872138888888889"/>
          <c:y val="1.3229166666666667E-2"/>
        </c:manualLayout>
      </c:layout>
      <c:overlay val="0"/>
    </c:title>
    <c:autoTitleDeleted val="0"/>
    <c:plotArea>
      <c:layout/>
      <c:pieChart>
        <c:varyColors val="1"/>
        <c:ser>
          <c:idx val="0"/>
          <c:order val="0"/>
          <c:spPr>
            <a:ln>
              <a:prstDash val="solid"/>
            </a:ln>
          </c:spPr>
          <c:cat>
            <c:strRef>
              <c:f>'Dynamic Dashboard'!$A$15:$A$17</c:f>
              <c:strCache>
                <c:ptCount val="3"/>
                <c:pt idx="0">
                  <c:v>PSP</c:v>
                </c:pt>
                <c:pt idx="1">
                  <c:v>📋 LIVE METRICS SUMMARY</c:v>
                </c:pt>
                <c:pt idx="2">
                  <c:v>TPI</c:v>
                </c:pt>
              </c:strCache>
            </c:strRef>
          </c:cat>
          <c:val>
            <c:numRef>
              <c:f>'Dynamic Dashboard'!$B$15:$B$17</c:f>
              <c:numCache>
                <c:formatCode>General</c:formatCode>
                <c:ptCount val="3"/>
                <c:pt idx="0" formatCode="0.0">
                  <c:v>45.833333333333329</c:v>
                </c:pt>
                <c:pt idx="2" formatCode="0.0">
                  <c:v>21.875</c:v>
                </c:pt>
              </c:numCache>
            </c:numRef>
          </c:val>
          <c:extLst>
            <c:ext xmlns:c16="http://schemas.microsoft.com/office/drawing/2014/chart" uri="{C3380CC4-5D6E-409C-BE32-E72D297353CC}">
              <c16:uniqueId val="{00000000-A6B1-9445-9C32-4F6F737FE432}"/>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Core Mentors - Prompt Counts</a:t>
            </a:r>
          </a:p>
        </c:rich>
      </c:tx>
      <c:overlay val="0"/>
    </c:title>
    <c:autoTitleDeleted val="0"/>
    <c:plotArea>
      <c:layout/>
      <c:barChart>
        <c:barDir val="col"/>
        <c:grouping val="clustered"/>
        <c:varyColors val="0"/>
        <c:ser>
          <c:idx val="0"/>
          <c:order val="0"/>
          <c:tx>
            <c:strRef>
              <c:f>'Charts Dashboard'!$B$6</c:f>
              <c:strCache>
                <c:ptCount val="1"/>
                <c:pt idx="0">
                  <c:v>Prompt Count</c:v>
                </c:pt>
              </c:strCache>
            </c:strRef>
          </c:tx>
          <c:spPr>
            <a:ln>
              <a:prstDash val="solid"/>
            </a:ln>
          </c:spPr>
          <c:invertIfNegative val="0"/>
          <c:cat>
            <c:strRef>
              <c:f>'Charts Dashboard'!$A$7:$A$9</c:f>
              <c:strCache>
                <c:ptCount val="3"/>
                <c:pt idx="0">
                  <c:v>PSP</c:v>
                </c:pt>
                <c:pt idx="1">
                  <c:v>VSM</c:v>
                </c:pt>
                <c:pt idx="2">
                  <c:v>TPI</c:v>
                </c:pt>
              </c:strCache>
            </c:strRef>
          </c:cat>
          <c:val>
            <c:numRef>
              <c:f>'Charts Dashboard'!$B$7:$B$9</c:f>
              <c:numCache>
                <c:formatCode>General</c:formatCode>
                <c:ptCount val="3"/>
                <c:pt idx="0">
                  <c:v>44</c:v>
                </c:pt>
                <c:pt idx="1">
                  <c:v>31</c:v>
                </c:pt>
                <c:pt idx="2">
                  <c:v>21</c:v>
                </c:pt>
              </c:numCache>
            </c:numRef>
          </c:val>
          <c:extLst>
            <c:ext xmlns:c16="http://schemas.microsoft.com/office/drawing/2014/chart" uri="{C3380CC4-5D6E-409C-BE32-E72D297353CC}">
              <c16:uniqueId val="{00000000-89A4-1D4B-8D95-A5FC546A70B8}"/>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IN"/>
                  <a:t>Mentor Types</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IN"/>
                  <a:t>Number of Prompts</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Core Mentors Distribution</a:t>
            </a:r>
          </a:p>
        </c:rich>
      </c:tx>
      <c:overlay val="0"/>
    </c:title>
    <c:autoTitleDeleted val="0"/>
    <c:plotArea>
      <c:layout/>
      <c:pieChart>
        <c:varyColors val="1"/>
        <c:ser>
          <c:idx val="0"/>
          <c:order val="0"/>
          <c:spPr>
            <a:ln>
              <a:prstDash val="solid"/>
            </a:ln>
          </c:spPr>
          <c:cat>
            <c:strRef>
              <c:f>'Charts Dashboard'!$A$7:$A$9</c:f>
              <c:strCache>
                <c:ptCount val="3"/>
                <c:pt idx="0">
                  <c:v>PSP</c:v>
                </c:pt>
                <c:pt idx="1">
                  <c:v>VSM</c:v>
                </c:pt>
                <c:pt idx="2">
                  <c:v>TPI</c:v>
                </c:pt>
              </c:strCache>
            </c:strRef>
          </c:cat>
          <c:val>
            <c:numRef>
              <c:f>'Charts Dashboard'!$B$6:$B$9</c:f>
              <c:numCache>
                <c:formatCode>General</c:formatCode>
                <c:ptCount val="4"/>
                <c:pt idx="0">
                  <c:v>0</c:v>
                </c:pt>
                <c:pt idx="1">
                  <c:v>44</c:v>
                </c:pt>
                <c:pt idx="2">
                  <c:v>31</c:v>
                </c:pt>
                <c:pt idx="3">
                  <c:v>21</c:v>
                </c:pt>
              </c:numCache>
            </c:numRef>
          </c:val>
          <c:extLst>
            <c:ext xmlns:c16="http://schemas.microsoft.com/office/drawing/2014/chart" uri="{C3380CC4-5D6E-409C-BE32-E72D297353CC}">
              <c16:uniqueId val="{00000000-92B6-C14C-AF3C-10655DAD8FF7}"/>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Core Mentors: Prompts vs Responses</a:t>
            </a:r>
          </a:p>
        </c:rich>
      </c:tx>
      <c:overlay val="0"/>
    </c:title>
    <c:autoTitleDeleted val="0"/>
    <c:plotArea>
      <c:layout/>
      <c:barChart>
        <c:barDir val="col"/>
        <c:grouping val="clustered"/>
        <c:varyColors val="0"/>
        <c:ser>
          <c:idx val="0"/>
          <c:order val="0"/>
          <c:tx>
            <c:strRef>
              <c:f>'Charts Dashboard'!$B$31</c:f>
              <c:strCache>
                <c:ptCount val="1"/>
                <c:pt idx="0">
                  <c:v>Total Prompts</c:v>
                </c:pt>
              </c:strCache>
            </c:strRef>
          </c:tx>
          <c:spPr>
            <a:ln>
              <a:prstDash val="solid"/>
            </a:ln>
          </c:spPr>
          <c:invertIfNegative val="0"/>
          <c:cat>
            <c:strRef>
              <c:f>'Charts Dashboard'!$A$32:$A$34</c:f>
              <c:strCache>
                <c:ptCount val="3"/>
                <c:pt idx="0">
                  <c:v>PSP</c:v>
                </c:pt>
                <c:pt idx="1">
                  <c:v>VSM</c:v>
                </c:pt>
                <c:pt idx="2">
                  <c:v>TPI</c:v>
                </c:pt>
              </c:strCache>
            </c:strRef>
          </c:cat>
          <c:val>
            <c:numRef>
              <c:f>'Charts Dashboard'!$B$32:$B$34</c:f>
              <c:numCache>
                <c:formatCode>General</c:formatCode>
                <c:ptCount val="3"/>
                <c:pt idx="0">
                  <c:v>44</c:v>
                </c:pt>
                <c:pt idx="1">
                  <c:v>31</c:v>
                </c:pt>
                <c:pt idx="2">
                  <c:v>21</c:v>
                </c:pt>
              </c:numCache>
            </c:numRef>
          </c:val>
          <c:extLst>
            <c:ext xmlns:c16="http://schemas.microsoft.com/office/drawing/2014/chart" uri="{C3380CC4-5D6E-409C-BE32-E72D297353CC}">
              <c16:uniqueId val="{00000000-92FE-8847-B2A7-36B28B1BF8E1}"/>
            </c:ext>
          </c:extLst>
        </c:ser>
        <c:ser>
          <c:idx val="1"/>
          <c:order val="1"/>
          <c:tx>
            <c:strRef>
              <c:f>'Charts Dashboard'!$C$31</c:f>
              <c:strCache>
                <c:ptCount val="1"/>
                <c:pt idx="0">
                  <c:v>Responses</c:v>
                </c:pt>
              </c:strCache>
            </c:strRef>
          </c:tx>
          <c:spPr>
            <a:ln>
              <a:prstDash val="solid"/>
            </a:ln>
          </c:spPr>
          <c:invertIfNegative val="0"/>
          <c:cat>
            <c:strRef>
              <c:f>'Charts Dashboard'!$A$32:$A$34</c:f>
              <c:strCache>
                <c:ptCount val="3"/>
                <c:pt idx="0">
                  <c:v>PSP</c:v>
                </c:pt>
                <c:pt idx="1">
                  <c:v>VSM</c:v>
                </c:pt>
                <c:pt idx="2">
                  <c:v>TPI</c:v>
                </c:pt>
              </c:strCache>
            </c:strRef>
          </c:cat>
          <c:val>
            <c:numRef>
              <c:f>'Charts Dashboard'!$C$32:$C$34</c:f>
              <c:numCache>
                <c:formatCode>General</c:formatCode>
                <c:ptCount val="3"/>
                <c:pt idx="0">
                  <c:v>44</c:v>
                </c:pt>
                <c:pt idx="1">
                  <c:v>31</c:v>
                </c:pt>
                <c:pt idx="2">
                  <c:v>21</c:v>
                </c:pt>
              </c:numCache>
            </c:numRef>
          </c:val>
          <c:extLst>
            <c:ext xmlns:c16="http://schemas.microsoft.com/office/drawing/2014/chart" uri="{C3380CC4-5D6E-409C-BE32-E72D297353CC}">
              <c16:uniqueId val="{00000001-92FE-8847-B2A7-36B28B1BF8E1}"/>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IN"/>
                  <a:t>Mentor Types</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IN"/>
                  <a:t>Count</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Core Mentors Performance Ranking</a:t>
            </a:r>
          </a:p>
        </c:rich>
      </c:tx>
      <c:overlay val="0"/>
    </c:title>
    <c:autoTitleDeleted val="0"/>
    <c:plotArea>
      <c:layout/>
      <c:barChart>
        <c:barDir val="bar"/>
        <c:grouping val="clustered"/>
        <c:varyColors val="0"/>
        <c:ser>
          <c:idx val="0"/>
          <c:order val="0"/>
          <c:tx>
            <c:strRef>
              <c:f>'Charts Dashboard'!$D$56</c:f>
              <c:strCache>
                <c:ptCount val="1"/>
                <c:pt idx="0">
                  <c:v>Performance Score</c:v>
                </c:pt>
              </c:strCache>
            </c:strRef>
          </c:tx>
          <c:spPr>
            <a:ln>
              <a:prstDash val="solid"/>
            </a:ln>
          </c:spPr>
          <c:invertIfNegative val="0"/>
          <c:cat>
            <c:strRef>
              <c:f>'Charts Dashboard'!$A$57:$A$59</c:f>
              <c:strCache>
                <c:ptCount val="3"/>
                <c:pt idx="0">
                  <c:v>PSP</c:v>
                </c:pt>
                <c:pt idx="1">
                  <c:v>VSM</c:v>
                </c:pt>
                <c:pt idx="2">
                  <c:v>TPI</c:v>
                </c:pt>
              </c:strCache>
            </c:strRef>
          </c:cat>
          <c:val>
            <c:numRef>
              <c:f>'Charts Dashboard'!$D$57:$D$59</c:f>
              <c:numCache>
                <c:formatCode>General</c:formatCode>
                <c:ptCount val="3"/>
                <c:pt idx="0">
                  <c:v>0</c:v>
                </c:pt>
                <c:pt idx="1">
                  <c:v>0</c:v>
                </c:pt>
                <c:pt idx="2">
                  <c:v>0</c:v>
                </c:pt>
              </c:numCache>
            </c:numRef>
          </c:val>
          <c:extLst>
            <c:ext xmlns:c16="http://schemas.microsoft.com/office/drawing/2014/chart" uri="{C3380CC4-5D6E-409C-BE32-E72D297353CC}">
              <c16:uniqueId val="{00000000-6297-F744-8792-CE28927A8C79}"/>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title>
          <c:tx>
            <c:rich>
              <a:bodyPr/>
              <a:lstStyle/>
              <a:p>
                <a:pPr>
                  <a:defRPr/>
                </a:pPr>
                <a:r>
                  <a:rPr lang="en-IN"/>
                  <a:t>Performance Score</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b"/>
        <c:majorGridlines/>
        <c:title>
          <c:tx>
            <c:rich>
              <a:bodyPr/>
              <a:lstStyle/>
              <a:p>
                <a:pPr>
                  <a:defRPr/>
                </a:pPr>
                <a:r>
                  <a:rPr lang="en-IN"/>
                  <a:t>Mentor Types</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8</xdr:col>
      <xdr:colOff>393700</xdr:colOff>
      <xdr:row>5</xdr:row>
      <xdr:rowOff>88900</xdr:rowOff>
    </xdr:from>
    <xdr:ext cx="4320000" cy="2880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596900</xdr:colOff>
      <xdr:row>22</xdr:row>
      <xdr:rowOff>63500</xdr:rowOff>
    </xdr:from>
    <xdr:ext cx="3937000" cy="2997200"/>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4</xdr:col>
      <xdr:colOff>215900</xdr:colOff>
      <xdr:row>5</xdr:row>
      <xdr:rowOff>12700</xdr:rowOff>
    </xdr:from>
    <xdr:ext cx="3600000" cy="288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13</xdr:col>
      <xdr:colOff>0</xdr:colOff>
      <xdr:row>5</xdr:row>
      <xdr:rowOff>0</xdr:rowOff>
    </xdr:from>
    <xdr:ext cx="2880000" cy="2880000"/>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7</xdr:col>
      <xdr:colOff>0</xdr:colOff>
      <xdr:row>30</xdr:row>
      <xdr:rowOff>0</xdr:rowOff>
    </xdr:from>
    <xdr:ext cx="4320000" cy="2880000"/>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55</xdr:row>
      <xdr:rowOff>0</xdr:rowOff>
    </xdr:from>
    <xdr:ext cx="4320000" cy="2880000"/>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s://fortive.sharepoint.com/:p:/r/sites/FTV-TheFort/_layouts/15/Doc.aspx?sourcedoc=%7b2679DEA0-53E4-46A4-80CC-69F4534B9231%7d&amp;file=fortive-problem-solving-process-%20tied%20to%20elearning.pptx&amp;action=edit&amp;mobileredirect=true" TargetMode="External"/><Relationship Id="rId13" Type="http://schemas.openxmlformats.org/officeDocument/2006/relationships/printerSettings" Target="../printerSettings/printerSettings1.bin"/><Relationship Id="rId3" Type="http://schemas.openxmlformats.org/officeDocument/2006/relationships/hyperlink" Target="https://fortive.sharepoint.com/:p:/r/sites/FTV-TheFort/_layouts/15/Doc.aspx?sourcedoc=%7b2679DEA0-53E4-46A4-80CC-69F4534B9231%7d&amp;file=fortive-problem-solving-process-%20tied%20to%20elearning.pptx&amp;action=edit&amp;mobileredirect=true" TargetMode="External"/><Relationship Id="rId7" Type="http://schemas.openxmlformats.org/officeDocument/2006/relationships/hyperlink" Target="https://fortive.sharepoint.com/:p:/r/sites/FTV-TheFort/_layouts/15/Doc.aspx?sourcedoc=%7b2679DEA0-53E4-46A4-80CC-69F4534B9231%7d&amp;file=fortive-problem-solving-process-%20tied%20to%20elearning.pptx&amp;action=edit&amp;mobileredirect=true" TargetMode="External"/><Relationship Id="rId12" Type="http://schemas.openxmlformats.org/officeDocument/2006/relationships/hyperlink" Target="https://fortive.sharepoint.com/:p:/r/sites/FTV-TheFort/_layouts/15/Doc.aspx?sourcedoc=%7b2679DEA0-53E4-46A4-80CC-69F4534B9231%7d&amp;file=fortive-problem-solving-process-%20tied%20to%20elearning.pptx&amp;action=edit&amp;mobileredirect=true" TargetMode="External"/><Relationship Id="rId2" Type="http://schemas.openxmlformats.org/officeDocument/2006/relationships/hyperlink" Target="https://fortive.sharepoint.com/:p:/r/sites/FTV-TheFort/_layouts/15/Doc.aspx?sourcedoc=%7b78185926-2BBA-4280-8D70-52802D36723D%7d&amp;file=PSP%20tied%20to%20elearning.pptx&amp;action=edit&amp;mobileredirect=true" TargetMode="External"/><Relationship Id="rId1" Type="http://schemas.openxmlformats.org/officeDocument/2006/relationships/hyperlink" Target="https://fortive.sharepoint.com/:p:/r/sites/FTV-TheFort/_layouts/15/Doc.aspx?sourcedoc=%7b78185926-2BBA-4280-8D70-52802D36723D%7d&amp;file=PSP%20tied%20to%20elearning.pptx&amp;action=edit&amp;mobileredirect=true" TargetMode="External"/><Relationship Id="rId6" Type="http://schemas.openxmlformats.org/officeDocument/2006/relationships/hyperlink" Target="https://fortive.sharepoint.com/:p:/r/sites/FTV-TheFort/_layouts/15/Doc.aspx?sourcedoc=%7b2679DEA0-53E4-46A4-80CC-69F4534B9231%7d&amp;file=fortive-problem-solving-process-%20tied%20to%20elearning.pptx&amp;action=edit&amp;mobileredirect=true" TargetMode="External"/><Relationship Id="rId11" Type="http://schemas.openxmlformats.org/officeDocument/2006/relationships/hyperlink" Target="https://fortive.sharepoint.com/:p:/r/sites/FTV-TheFort/_layouts/15/Doc.aspx?sourcedoc=%7b2679DEA0-53E4-46A4-80CC-69F4534B9231%7d&amp;file=fortive-problem-solving-process-%20tied%20to%20elearning.pptx&amp;action=edit&amp;mobileredirect=true" TargetMode="External"/><Relationship Id="rId5" Type="http://schemas.openxmlformats.org/officeDocument/2006/relationships/hyperlink" Target="https://fortive.sharepoint.com/:p:/r/sites/FTV-TheFort/_layouts/15/Doc.aspx?sourcedoc=%7b2679DEA0-53E4-46A4-80CC-69F4534B9231%7d&amp;file=fortive-problem-solving-process-%20tied%20to%20elearning.pptx&amp;action=edit&amp;mobileredirect=true" TargetMode="External"/><Relationship Id="rId10" Type="http://schemas.openxmlformats.org/officeDocument/2006/relationships/hyperlink" Target="https://fortive.sharepoint.com/:p:/r/sites/FTV-TheFort/_layouts/15/Doc.aspx?sourcedoc=%7b2679DEA0-53E4-46A4-80CC-69F4534B9231%7d&amp;file=fortive-problem-solving-process-%20tied%20to%20elearning.pptx&amp;action=edit&amp;mobileredirect=true" TargetMode="External"/><Relationship Id="rId4" Type="http://schemas.openxmlformats.org/officeDocument/2006/relationships/hyperlink" Target="https://fortive.sharepoint.com/:p:/r/sites/FTV-TheFort/_layouts/15/Doc.aspx?sourcedoc=%7b78185926-2BBA-4280-8D70-52802D36723D%7d&amp;file=PSP%20tied%20to%20elearning.pptx&amp;action=edit&amp;mobileredirect=true" TargetMode="External"/><Relationship Id="rId9" Type="http://schemas.openxmlformats.org/officeDocument/2006/relationships/hyperlink" Target="https://fortive.sharepoint.com/:p:/r/sites/FTV-TheFort/_layouts/15/Doc.aspx?sourcedoc=%7b2679DEA0-53E4-46A4-80CC-69F4534B9231%7d&amp;file=fortive-problem-solving-process-%20tied%20to%20elearning.pptx&amp;action=edit&amp;mobileredirect=tru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fortive.sharepoint.com/FBS/Shared%20Documents/Waste%20Recording%20Form.xlsx?d=w45ff08d1b13049bc98c3232db6b075df&amp;csf=1&amp;web=1&amp;e=OepEri" TargetMode="External"/><Relationship Id="rId13" Type="http://schemas.openxmlformats.org/officeDocument/2006/relationships/hyperlink" Target="https://fortive.sharepoint.com/:p:/r/sites/FTV-TheFort/_layouts/15/Doc.aspx?sourcedoc=%7bAFDE1D59-E59F-49B8-AB60-2C268103BE0B%7d&amp;file=standard-work-tied%20to%20elearning.pptx&amp;action=edit&amp;mobileredirect=true" TargetMode="External"/><Relationship Id="rId3" Type="http://schemas.openxmlformats.org/officeDocument/2006/relationships/hyperlink" Target="https://fortive.sharepoint.com/:p:/r/sites/FTV-TheFort/_layouts/15/Doc.aspx?sourcedoc=%7b8E18CC86-963B-402D-9A5F-30E27D5ECE6C%7d&amp;file=value-stream-mapping-tied%20to%20elearning.pptx&amp;action=edit&amp;mobileredirect=true" TargetMode="External"/><Relationship Id="rId7" Type="http://schemas.openxmlformats.org/officeDocument/2006/relationships/hyperlink" Target="https://fortive.sharepoint.com/:p:/r/sites/FTV-TheFort/_layouts/15/Doc.aspx?sourcedoc=%7b8E18CC86-963B-402D-9A5F-30E27D5ECE6C%7d&amp;file=value-stream-mapping-tied%20to%20elearning.pptx&amp;action=edit&amp;mobileredirect=true" TargetMode="External"/><Relationship Id="rId12" Type="http://schemas.openxmlformats.org/officeDocument/2006/relationships/hyperlink" Target="https://miro.com/templates/" TargetMode="External"/><Relationship Id="rId2" Type="http://schemas.openxmlformats.org/officeDocument/2006/relationships/hyperlink" Target="https://fortive.sharepoint.com/:p:/r/sites/FTV-TheFort/Shared%20Documents/_2025/Projects/KATA/Project%20Plan/Data/Kata%20files/FBS%20Learning%20Documents/value-stream-mapping-tied%20to%20elearning.pptx?d=w8e18cc86963b402d9a5f30e27d5ece6c&amp;csf=1&amp;web=1&amp;e=mSg8f4" TargetMode="External"/><Relationship Id="rId16" Type="http://schemas.openxmlformats.org/officeDocument/2006/relationships/hyperlink" Target="https://miro.com/app/board/o9J_lbwMRwY=/" TargetMode="External"/><Relationship Id="rId1" Type="http://schemas.openxmlformats.org/officeDocument/2006/relationships/hyperlink" Target="https://fortive.sharepoint.com/:p:/r/sites/FTV-TheFort/_layouts/15/Doc.aspx?sourcedoc=%7B8E18CC86-963B-402D-9A5F-30E27D5ECE6C%7D&amp;file=value-stream-mapping-tied%20to%20elearning.pptx&amp;action=edit&amp;mobileredirect=true" TargetMode="External"/><Relationship Id="rId6" Type="http://schemas.openxmlformats.org/officeDocument/2006/relationships/hyperlink" Target="https://fortive.sharepoint.com/:p:/r/sites/FTV-TheFort/_layouts/15/Doc.aspx?sourcedoc=%7b8E18CC86-963B-402D-9A5F-30E27D5ECE6C%7d&amp;file=value-stream-mapping-tied%20to%20elearning.pptx&amp;action=edit&amp;mobileredirect=true" TargetMode="External"/><Relationship Id="rId11" Type="http://schemas.openxmlformats.org/officeDocument/2006/relationships/hyperlink" Target="https://fortive.sharepoint.com/:x:/r/sites/FBS/Shared%20Documents/2018%20Action%20Plan%20Template%20Ver4_.xls?d=w8b3015f5d6a94e28a98f37f2cd29d88d&amp;csf=1&amp;web=1&amp;e=ujyswj" TargetMode="External"/><Relationship Id="rId5" Type="http://schemas.openxmlformats.org/officeDocument/2006/relationships/hyperlink" Target="https://fortive.sharepoint.com/:p:/r/sites/FTV-TheFort/_layouts/15/Doc.aspx?sourcedoc=%7b8E18CC86-963B-402D-9A5F-30E27D5ECE6C%7d&amp;file=value-stream-mapping-tied%20to%20elearning.pptx&amp;action=edit&amp;mobileredirect=true" TargetMode="External"/><Relationship Id="rId15" Type="http://schemas.openxmlformats.org/officeDocument/2006/relationships/hyperlink" Target="https://fortive.sharepoint.com/FBS/SitePages/VSM_Facilitator_Leader%20Guide.pptx" TargetMode="External"/><Relationship Id="rId10" Type="http://schemas.openxmlformats.org/officeDocument/2006/relationships/hyperlink" Target="https://fortive.sharepoint.com/FBS/Shared%20Documents/Fortive-Kaizen-Charter%202022.xlsx?d=w217854ef74444dfc9d56cb7fb197fe23&amp;csf=1&amp;web=1&amp;e=A8VluV" TargetMode="External"/><Relationship Id="rId4" Type="http://schemas.openxmlformats.org/officeDocument/2006/relationships/hyperlink" Target="https://fortive.sharepoint.com/:p:/r/sites/FTV-TheFort/_layouts/15/Doc.aspx?sourcedoc=%7B8E18CC86-963B-402D-9A5F-30E27D5ECE6C%7D&amp;file=value-stream-mapping-tied%20to%20elearning.pptx&amp;action=edit&amp;mobileredirect=true" TargetMode="External"/><Relationship Id="rId9" Type="http://schemas.openxmlformats.org/officeDocument/2006/relationships/hyperlink" Target="https://fortive.sharepoint.com/:p:/r/sites/FBS/_layouts/15/Doc.aspx?sourcedoc=%7bF6A814BA-5EDE-40B6-9088-CF84FB4E6BAF%7d&amp;file=Impact%20Matrix.pptx&amp;action=edit&amp;mobileredirect=true" TargetMode="External"/><Relationship Id="rId14" Type="http://schemas.openxmlformats.org/officeDocument/2006/relationships/hyperlink" Target="https://fortive.sharepoint.com/:p:/r/sites/FTV-TheFort/_layouts/15/Doc.aspx?sourcedoc=%7b8E18CC86-963B-402D-9A5F-30E27D5ECE6C%7d&amp;file=value-stream-mapping-tied%20to%20elearning.pptx&amp;action=edit&amp;mobileredirect=tru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fortive.sharepoint.com/:x:/r/sites/FBS/_layouts/15/Doc.aspx?sourcedoc=%7bACB1737F-6298-4C42-8BF5-AA80DEBE4D7C%7d&amp;file=TPI%20Process%20Flow%20Gemba%20Questionnaire.xlsx&amp;action=default&amp;mobileredirect=true" TargetMode="External"/><Relationship Id="rId2" Type="http://schemas.openxmlformats.org/officeDocument/2006/relationships/hyperlink" Target="https://fortive.sharepoint.com/FBS/Shared%20Documents/TPI%20Process%20Flow%20Gemba%20Questionnaire.xlsx?d=wacb1737f62984c428bf5aa80debe4d7c&amp;csf=1&amp;web=1&amp;e=5ffZ2y" TargetMode="External"/><Relationship Id="rId1" Type="http://schemas.openxmlformats.org/officeDocument/2006/relationships/hyperlink" Target="https://fortive.sharepoint.com/FBS/Shared%20Documents/TPI%20Process%20Flow%20Gemba%20Questionnaire.xlsx?d=wacb1737f62984c428bf5aa80debe4d7c&amp;csf=1&amp;web=1&amp;e=5ffZ2y" TargetMode="External"/><Relationship Id="rId6" Type="http://schemas.openxmlformats.org/officeDocument/2006/relationships/hyperlink" Target="https://fortive.sharepoint.com/:p:/r/sites/FTV-TheFort/_layouts/15/Doc.aspx?sourcedoc=%7bA210F317-23A9-4204-ACF5-21D339C9CEA6%7d&amp;file=transactional-process-improvement-tied%20to%20elearning.pptx&amp;action=edit&amp;mobileredirect=true" TargetMode="External"/><Relationship Id="rId5" Type="http://schemas.openxmlformats.org/officeDocument/2006/relationships/hyperlink" Target="https://fortive.sharepoint.com/FBS/Shared%20Documents/5S/4%20Doc%20needed%20for%205S/2%20-%205S%20Checklist%203%20Shift.xlsx?d=wadb491d9ce164cccbfa9071dcfcc4194&amp;csf=1&amp;web=1&amp;e=TWIjWK" TargetMode="External"/><Relationship Id="rId4" Type="http://schemas.openxmlformats.org/officeDocument/2006/relationships/hyperlink" Target="https://fortive.sharepoint.com/:p:/r/sites/FTV-TheFort/_layouts/15/Doc.aspx?sourcedoc=%7bA210F317-23A9-4204-ACF5-21D339C9CEA6%7d&amp;file=transactional-process-improvement-tied%20to%20elearning.pptx&amp;action=edi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40"/>
  <sheetViews>
    <sheetView showGridLines="0" workbookViewId="0">
      <selection activeCell="D23" sqref="D23"/>
    </sheetView>
  </sheetViews>
  <sheetFormatPr defaultColWidth="8.85546875" defaultRowHeight="14.45"/>
  <cols>
    <col min="1" max="1" width="20" customWidth="1"/>
    <col min="2" max="4" width="15" customWidth="1"/>
    <col min="5" max="5" width="20" customWidth="1"/>
    <col min="6" max="6" width="15" customWidth="1"/>
    <col min="7" max="7" width="2" customWidth="1"/>
  </cols>
  <sheetData>
    <row r="1" spans="1:16" ht="24.95" customHeight="1">
      <c r="A1" s="78" t="s">
        <v>0</v>
      </c>
      <c r="B1" s="82"/>
      <c r="C1" s="82"/>
      <c r="D1" s="82"/>
      <c r="E1" s="82"/>
      <c r="F1" s="82"/>
      <c r="G1" s="82"/>
      <c r="H1" s="82"/>
      <c r="I1" s="82"/>
      <c r="J1" s="82"/>
      <c r="K1" s="82"/>
      <c r="L1" s="82"/>
      <c r="M1" s="82"/>
      <c r="N1" s="82"/>
      <c r="O1" s="82"/>
      <c r="P1" s="82"/>
    </row>
    <row r="2" spans="1:16">
      <c r="A2" s="79" t="s">
        <v>1</v>
      </c>
      <c r="B2" s="82"/>
      <c r="C2" s="82"/>
      <c r="D2" s="82"/>
      <c r="E2" s="82"/>
      <c r="F2" s="82"/>
      <c r="G2" s="82"/>
      <c r="H2" s="82"/>
      <c r="I2" s="82"/>
      <c r="J2" s="82"/>
      <c r="K2" s="82"/>
      <c r="L2" s="82"/>
      <c r="M2" s="82"/>
      <c r="N2" s="82"/>
      <c r="O2" s="82"/>
      <c r="P2" s="82"/>
    </row>
    <row r="3" spans="1:16">
      <c r="A3" s="12" t="s">
        <v>2</v>
      </c>
      <c r="B3" s="23">
        <f ca="1">TODAY()</f>
        <v>45945</v>
      </c>
    </row>
    <row r="5" spans="1:16" ht="18.399999999999999">
      <c r="A5" s="83" t="s">
        <v>3</v>
      </c>
      <c r="B5" s="82"/>
      <c r="C5" s="82"/>
      <c r="D5" s="82"/>
      <c r="E5" s="82"/>
      <c r="F5" s="82"/>
      <c r="G5" s="82"/>
      <c r="H5" s="82"/>
      <c r="I5" s="82"/>
      <c r="J5" s="82"/>
      <c r="K5" s="82"/>
      <c r="L5" s="82"/>
      <c r="M5" s="82"/>
      <c r="N5" s="82"/>
      <c r="O5" s="82"/>
      <c r="P5" s="82"/>
    </row>
    <row r="7" spans="1:16">
      <c r="A7" s="11" t="s">
        <v>4</v>
      </c>
      <c r="B7" s="11" t="s">
        <v>5</v>
      </c>
      <c r="C7" s="11" t="s">
        <v>6</v>
      </c>
      <c r="D7" s="11" t="s">
        <v>7</v>
      </c>
      <c r="E7" s="11" t="s">
        <v>8</v>
      </c>
    </row>
    <row r="8" spans="1:16">
      <c r="A8" s="13" t="s">
        <v>9</v>
      </c>
      <c r="B8" s="13">
        <f>COUNTA('PSP Mentor Prompts'!B:B)-1</f>
        <v>44</v>
      </c>
      <c r="C8" s="13">
        <f>COUNTA('PSP Mentor Prompts'!C:C)-1</f>
        <v>44</v>
      </c>
      <c r="D8" s="24">
        <f>IF(B8=0,0,C8/B8*100)</f>
        <v>100</v>
      </c>
      <c r="E8" s="13" t="str">
        <f>IF(D8&gt;=90,"Excellent",IF(D8&gt;=70,"Good",IF(D8&gt;=50,"Fair","Needs Attention")))</f>
        <v>Excellent</v>
      </c>
    </row>
    <row r="9" spans="1:16">
      <c r="A9" s="14" t="s">
        <v>10</v>
      </c>
      <c r="B9" s="14">
        <f>COUNTA('VSM Mentor Prompts'!B:B)-1</f>
        <v>31</v>
      </c>
      <c r="C9" s="14">
        <f>COUNTA('VSM Mentor Prompts'!C:C)-1</f>
        <v>31</v>
      </c>
      <c r="D9" s="25">
        <f>IF(B9=0,0,C9/B9*100)</f>
        <v>100</v>
      </c>
      <c r="E9" s="14" t="str">
        <f>IF(D9&gt;=90,"Excellent",IF(D9&gt;=70,"Good",IF(D9&gt;=50,"Fair","Needs Attention")))</f>
        <v>Excellent</v>
      </c>
    </row>
    <row r="10" spans="1:16">
      <c r="A10" s="15" t="s">
        <v>11</v>
      </c>
      <c r="B10" s="15">
        <f>COUNTA('TPI Mentor Prompts'!B:B)-1</f>
        <v>21</v>
      </c>
      <c r="C10" s="15">
        <f>COUNTA('TPI Mentor Prompts'!C:C)-1</f>
        <v>21</v>
      </c>
      <c r="D10" s="26">
        <f>IF(B10=0,0,C10/B10*100)</f>
        <v>100</v>
      </c>
      <c r="E10" s="15" t="str">
        <f>IF(D10&gt;=90,"Excellent",IF(D10&gt;=70,"Good",IF(D10&gt;=50,"Fair","Needs Attention")))</f>
        <v>Excellent</v>
      </c>
    </row>
    <row r="11" spans="1:16">
      <c r="A11" s="27" t="s">
        <v>12</v>
      </c>
      <c r="B11" s="27">
        <f>SUM(B8:B10)</f>
        <v>96</v>
      </c>
      <c r="C11" s="27">
        <f>SUM(C8:C10)</f>
        <v>96</v>
      </c>
      <c r="D11" s="28">
        <f>IF(B11=0,0,C11/B11*100)</f>
        <v>100</v>
      </c>
      <c r="E11" s="27" t="s">
        <v>13</v>
      </c>
    </row>
    <row r="14" spans="1:16">
      <c r="A14" s="29" t="s">
        <v>14</v>
      </c>
      <c r="B14" s="29" t="s">
        <v>15</v>
      </c>
    </row>
    <row r="15" spans="1:16">
      <c r="A15" t="s">
        <v>9</v>
      </c>
      <c r="B15" s="30">
        <f>IF(B11=0,0,B8/B11*100)</f>
        <v>45.833333333333329</v>
      </c>
    </row>
    <row r="16" spans="1:16" ht="18.399999999999999">
      <c r="A16" s="84" t="s">
        <v>16</v>
      </c>
      <c r="B16" s="82"/>
      <c r="C16" s="82"/>
      <c r="D16" s="82"/>
      <c r="E16" s="82"/>
      <c r="F16" s="82"/>
    </row>
    <row r="17" spans="1:2">
      <c r="A17" t="s">
        <v>11</v>
      </c>
      <c r="B17" s="30">
        <f>IF(B11=0,0,B10/B11*100)</f>
        <v>21.875</v>
      </c>
    </row>
    <row r="18" spans="1:2">
      <c r="A18" s="12" t="s">
        <v>17</v>
      </c>
      <c r="B18" t="s">
        <v>18</v>
      </c>
    </row>
    <row r="19" spans="1:2">
      <c r="A19" s="12" t="s">
        <v>19</v>
      </c>
      <c r="B19">
        <f>B11</f>
        <v>96</v>
      </c>
    </row>
    <row r="20" spans="1:2">
      <c r="A20" s="12" t="s">
        <v>20</v>
      </c>
      <c r="B20">
        <f>C11</f>
        <v>96</v>
      </c>
    </row>
    <row r="21" spans="1:2">
      <c r="A21" s="12" t="s">
        <v>21</v>
      </c>
      <c r="B21" s="31">
        <f>D11</f>
        <v>100</v>
      </c>
    </row>
    <row r="22" spans="1:2">
      <c r="A22" s="12" t="s">
        <v>22</v>
      </c>
      <c r="B22" s="30">
        <f>B11/3</f>
        <v>32</v>
      </c>
    </row>
    <row r="23" spans="1:2">
      <c r="A23" s="12" t="s">
        <v>23</v>
      </c>
      <c r="B23" t="str">
        <f>INDEX(A8:A10,MATCH(MAX(B8:B10),B8:B10,0))</f>
        <v>PSP</v>
      </c>
    </row>
    <row r="35" spans="1:1" ht="15.6">
      <c r="A35" s="32" t="s">
        <v>24</v>
      </c>
    </row>
    <row r="36" spans="1:1">
      <c r="A36" s="33" t="s">
        <v>25</v>
      </c>
    </row>
    <row r="37" spans="1:1">
      <c r="A37" s="33" t="s">
        <v>26</v>
      </c>
    </row>
    <row r="38" spans="1:1">
      <c r="A38" s="33" t="s">
        <v>27</v>
      </c>
    </row>
    <row r="39" spans="1:1">
      <c r="A39" s="33" t="s">
        <v>28</v>
      </c>
    </row>
    <row r="40" spans="1:1">
      <c r="A40" s="33" t="s">
        <v>29</v>
      </c>
    </row>
  </sheetData>
  <mergeCells count="4">
    <mergeCell ref="A16:F16"/>
    <mergeCell ref="A1:P1"/>
    <mergeCell ref="A5:P5"/>
    <mergeCell ref="A2:P2"/>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88"/>
  <sheetViews>
    <sheetView showGridLines="0" workbookViewId="0">
      <selection activeCell="E46" sqref="E46"/>
    </sheetView>
  </sheetViews>
  <sheetFormatPr defaultColWidth="8.85546875" defaultRowHeight="14.45"/>
  <cols>
    <col min="1" max="1" width="25" customWidth="1"/>
    <col min="2" max="4" width="15" customWidth="1"/>
    <col min="5" max="5" width="20" customWidth="1"/>
    <col min="6" max="6" width="15" customWidth="1"/>
    <col min="7" max="19" width="3" customWidth="1"/>
  </cols>
  <sheetData>
    <row r="1" spans="1:19" ht="30" customHeight="1">
      <c r="A1" s="80" t="s">
        <v>30</v>
      </c>
      <c r="B1" s="82"/>
      <c r="C1" s="82"/>
      <c r="D1" s="82"/>
      <c r="E1" s="82"/>
      <c r="F1" s="82"/>
      <c r="G1" s="82"/>
      <c r="H1" s="82"/>
      <c r="I1" s="82"/>
      <c r="J1" s="82"/>
      <c r="K1" s="82"/>
      <c r="L1" s="82"/>
      <c r="M1" s="82"/>
      <c r="N1" s="82"/>
      <c r="O1" s="82"/>
      <c r="P1" s="82"/>
      <c r="Q1" s="82"/>
      <c r="R1" s="82"/>
      <c r="S1" s="82"/>
    </row>
    <row r="2" spans="1:19">
      <c r="A2" s="81" t="s">
        <v>31</v>
      </c>
      <c r="B2" s="82"/>
      <c r="C2" s="82"/>
      <c r="D2" s="82"/>
      <c r="E2" s="82"/>
      <c r="F2" s="82"/>
      <c r="G2" s="82"/>
      <c r="H2" s="82"/>
      <c r="I2" s="82"/>
      <c r="J2" s="82"/>
      <c r="K2" s="82"/>
      <c r="L2" s="82"/>
      <c r="M2" s="82"/>
      <c r="N2" s="82"/>
      <c r="O2" s="82"/>
      <c r="P2" s="82"/>
      <c r="Q2" s="82"/>
      <c r="R2" s="82"/>
      <c r="S2" s="82"/>
    </row>
    <row r="4" spans="1:19" ht="18.399999999999999">
      <c r="A4" s="83" t="s">
        <v>32</v>
      </c>
      <c r="B4" s="82"/>
      <c r="C4" s="82"/>
      <c r="D4" s="82"/>
      <c r="E4" s="82"/>
      <c r="F4" s="82"/>
      <c r="G4" s="82"/>
      <c r="H4" s="82"/>
      <c r="I4" s="82"/>
      <c r="J4" s="82"/>
      <c r="K4" s="82"/>
      <c r="L4" s="82"/>
      <c r="M4" s="82"/>
      <c r="N4" s="82"/>
      <c r="O4" s="82"/>
      <c r="P4" s="82"/>
      <c r="Q4" s="82"/>
      <c r="R4" s="82"/>
      <c r="S4" s="82"/>
    </row>
    <row r="6" spans="1:19">
      <c r="A6" s="11" t="s">
        <v>4</v>
      </c>
      <c r="B6" s="11" t="s">
        <v>5</v>
      </c>
      <c r="C6" s="11" t="s">
        <v>15</v>
      </c>
    </row>
    <row r="7" spans="1:19">
      <c r="A7" s="13" t="s">
        <v>9</v>
      </c>
      <c r="B7" s="13">
        <v>44</v>
      </c>
      <c r="C7" s="13" t="s">
        <v>33</v>
      </c>
    </row>
    <row r="8" spans="1:19">
      <c r="A8" s="14" t="s">
        <v>10</v>
      </c>
      <c r="B8" s="14">
        <v>31</v>
      </c>
      <c r="C8" s="14" t="s">
        <v>34</v>
      </c>
    </row>
    <row r="9" spans="1:19">
      <c r="A9" s="15" t="s">
        <v>11</v>
      </c>
      <c r="B9" s="15">
        <v>21</v>
      </c>
      <c r="C9" s="15" t="s">
        <v>35</v>
      </c>
    </row>
    <row r="10" spans="1:19">
      <c r="A10" s="16" t="s">
        <v>12</v>
      </c>
      <c r="B10" s="16">
        <v>96</v>
      </c>
      <c r="C10" s="16" t="s">
        <v>36</v>
      </c>
    </row>
    <row r="29" spans="1:19" ht="18.399999999999999">
      <c r="A29" s="85" t="s">
        <v>37</v>
      </c>
      <c r="B29" s="82"/>
      <c r="C29" s="82"/>
      <c r="D29" s="82"/>
      <c r="E29" s="82"/>
      <c r="F29" s="82"/>
      <c r="G29" s="82"/>
      <c r="H29" s="82"/>
      <c r="I29" s="82"/>
      <c r="J29" s="82"/>
      <c r="K29" s="82"/>
      <c r="L29" s="82"/>
      <c r="M29" s="82"/>
      <c r="N29" s="82"/>
      <c r="O29" s="82"/>
      <c r="P29" s="82"/>
      <c r="Q29" s="82"/>
      <c r="R29" s="82"/>
      <c r="S29" s="82"/>
    </row>
    <row r="31" spans="1:19">
      <c r="A31" s="17" t="s">
        <v>4</v>
      </c>
      <c r="B31" s="17" t="s">
        <v>38</v>
      </c>
      <c r="C31" s="17" t="s">
        <v>39</v>
      </c>
      <c r="D31" s="17" t="s">
        <v>7</v>
      </c>
      <c r="E31" s="17" t="s">
        <v>8</v>
      </c>
    </row>
    <row r="32" spans="1:19">
      <c r="A32" s="18" t="s">
        <v>9</v>
      </c>
      <c r="B32" s="18">
        <v>44</v>
      </c>
      <c r="C32" s="18">
        <v>44</v>
      </c>
      <c r="D32" s="18" t="s">
        <v>36</v>
      </c>
      <c r="E32" s="18" t="s">
        <v>40</v>
      </c>
    </row>
    <row r="33" spans="1:5">
      <c r="A33" s="18" t="s">
        <v>10</v>
      </c>
      <c r="B33" s="18">
        <v>31</v>
      </c>
      <c r="C33" s="18">
        <v>31</v>
      </c>
      <c r="D33" s="18" t="s">
        <v>36</v>
      </c>
      <c r="E33" s="18" t="s">
        <v>40</v>
      </c>
    </row>
    <row r="34" spans="1:5">
      <c r="A34" s="18" t="s">
        <v>11</v>
      </c>
      <c r="B34" s="18">
        <v>21</v>
      </c>
      <c r="C34" s="18">
        <v>21</v>
      </c>
      <c r="D34" s="18" t="s">
        <v>36</v>
      </c>
      <c r="E34" s="18" t="s">
        <v>40</v>
      </c>
    </row>
    <row r="54" spans="1:19" ht="18.399999999999999">
      <c r="A54" s="86" t="s">
        <v>41</v>
      </c>
      <c r="B54" s="82"/>
      <c r="C54" s="82"/>
      <c r="D54" s="82"/>
      <c r="E54" s="82"/>
      <c r="F54" s="82"/>
      <c r="G54" s="82"/>
      <c r="H54" s="82"/>
      <c r="I54" s="82"/>
      <c r="J54" s="82"/>
      <c r="K54" s="82"/>
      <c r="L54" s="82"/>
      <c r="M54" s="82"/>
      <c r="N54" s="82"/>
      <c r="O54" s="82"/>
      <c r="P54" s="82"/>
      <c r="Q54" s="82"/>
      <c r="R54" s="82"/>
      <c r="S54" s="82"/>
    </row>
    <row r="56" spans="1:19">
      <c r="A56" s="19" t="s">
        <v>4</v>
      </c>
      <c r="B56" s="19" t="s">
        <v>42</v>
      </c>
      <c r="C56" s="19" t="s">
        <v>7</v>
      </c>
      <c r="D56" s="19" t="s">
        <v>43</v>
      </c>
      <c r="E56" s="19" t="s">
        <v>44</v>
      </c>
    </row>
    <row r="57" spans="1:19">
      <c r="A57" s="34" t="s">
        <v>9</v>
      </c>
      <c r="B57" s="34">
        <v>44</v>
      </c>
      <c r="C57" s="34" t="s">
        <v>36</v>
      </c>
      <c r="D57" s="34" t="s">
        <v>45</v>
      </c>
      <c r="E57" s="34" t="s">
        <v>46</v>
      </c>
    </row>
    <row r="58" spans="1:19">
      <c r="A58" s="35" t="s">
        <v>10</v>
      </c>
      <c r="B58" s="35">
        <v>31</v>
      </c>
      <c r="C58" s="35" t="s">
        <v>36</v>
      </c>
      <c r="D58" s="35" t="s">
        <v>47</v>
      </c>
      <c r="E58" s="35" t="s">
        <v>48</v>
      </c>
    </row>
    <row r="59" spans="1:19">
      <c r="A59" s="36" t="s">
        <v>11</v>
      </c>
      <c r="B59" s="36">
        <v>21</v>
      </c>
      <c r="C59" s="36" t="s">
        <v>36</v>
      </c>
      <c r="D59" s="36" t="s">
        <v>49</v>
      </c>
      <c r="E59" s="36" t="s">
        <v>50</v>
      </c>
    </row>
    <row r="79" spans="1:19" ht="18.399999999999999">
      <c r="A79" s="84" t="s">
        <v>51</v>
      </c>
      <c r="B79" s="82"/>
      <c r="C79" s="82"/>
      <c r="D79" s="82"/>
      <c r="E79" s="82"/>
      <c r="F79" s="82"/>
      <c r="G79" s="82"/>
      <c r="H79" s="82"/>
      <c r="I79" s="82"/>
      <c r="J79" s="82"/>
      <c r="K79" s="82"/>
      <c r="L79" s="82"/>
      <c r="M79" s="82"/>
      <c r="N79" s="82"/>
      <c r="O79" s="82"/>
      <c r="P79" s="82"/>
      <c r="Q79" s="82"/>
      <c r="R79" s="82"/>
      <c r="S79" s="82"/>
    </row>
    <row r="81" spans="1:2">
      <c r="A81" s="12" t="s">
        <v>52</v>
      </c>
      <c r="B81" s="20" t="s">
        <v>53</v>
      </c>
    </row>
    <row r="82" spans="1:2">
      <c r="A82" s="21" t="s">
        <v>54</v>
      </c>
      <c r="B82" s="22" t="s">
        <v>55</v>
      </c>
    </row>
    <row r="83" spans="1:2">
      <c r="A83" s="12" t="s">
        <v>22</v>
      </c>
      <c r="B83" s="20" t="s">
        <v>56</v>
      </c>
    </row>
    <row r="84" spans="1:2">
      <c r="A84" s="12" t="s">
        <v>57</v>
      </c>
      <c r="B84" s="20" t="s">
        <v>36</v>
      </c>
    </row>
    <row r="85" spans="1:2">
      <c r="A85" s="21" t="s">
        <v>23</v>
      </c>
      <c r="B85" s="22" t="s">
        <v>58</v>
      </c>
    </row>
    <row r="86" spans="1:2">
      <c r="A86" s="12" t="s">
        <v>59</v>
      </c>
      <c r="B86" s="20" t="s">
        <v>60</v>
      </c>
    </row>
    <row r="87" spans="1:2">
      <c r="A87" s="12" t="s">
        <v>61</v>
      </c>
      <c r="B87" s="20" t="s">
        <v>62</v>
      </c>
    </row>
    <row r="88" spans="1:2">
      <c r="A88" s="12" t="s">
        <v>63</v>
      </c>
      <c r="B88" s="20" t="s">
        <v>64</v>
      </c>
    </row>
  </sheetData>
  <mergeCells count="6">
    <mergeCell ref="A1:S1"/>
    <mergeCell ref="A79:S79"/>
    <mergeCell ref="A54:S54"/>
    <mergeCell ref="A4:S4"/>
    <mergeCell ref="A2:S2"/>
    <mergeCell ref="A29:S29"/>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5"/>
  <sheetViews>
    <sheetView topLeftCell="A8" zoomScaleNormal="100" workbookViewId="0">
      <selection activeCell="B2" sqref="B2"/>
    </sheetView>
  </sheetViews>
  <sheetFormatPr defaultColWidth="8.7109375" defaultRowHeight="30" customHeight="1"/>
  <cols>
    <col min="1" max="1" width="8.7109375" style="48" customWidth="1"/>
    <col min="2" max="2" width="32.5703125" style="41" customWidth="1"/>
    <col min="3" max="3" width="98.85546875" style="37" customWidth="1"/>
    <col min="4" max="4" width="21.5703125" style="39" customWidth="1"/>
    <col min="5" max="5" width="20.42578125" style="50" customWidth="1"/>
    <col min="6" max="6" width="36" style="40" customWidth="1"/>
    <col min="7" max="7" width="20.42578125" style="48" customWidth="1"/>
    <col min="8" max="8" width="22.140625" style="48" customWidth="1"/>
    <col min="9" max="13" width="20.42578125" style="48" customWidth="1"/>
    <col min="14" max="14" width="8.7109375" style="48" customWidth="1"/>
    <col min="15" max="16384" width="8.7109375" style="48"/>
  </cols>
  <sheetData>
    <row r="1" spans="1:8" ht="30" customHeight="1">
      <c r="A1" s="44" t="s">
        <v>65</v>
      </c>
      <c r="B1" s="51" t="s">
        <v>42</v>
      </c>
      <c r="C1" s="51" t="s">
        <v>66</v>
      </c>
      <c r="D1" s="42" t="s">
        <v>67</v>
      </c>
      <c r="E1" s="45" t="s">
        <v>8</v>
      </c>
      <c r="F1" s="38" t="s">
        <v>68</v>
      </c>
      <c r="G1" s="46" t="s">
        <v>69</v>
      </c>
      <c r="H1" s="47" t="s">
        <v>70</v>
      </c>
    </row>
    <row r="2" spans="1:8" ht="409.5" customHeight="1">
      <c r="A2" s="61">
        <v>1</v>
      </c>
      <c r="B2" s="41" t="s">
        <v>71</v>
      </c>
      <c r="C2" s="37" t="s">
        <v>72</v>
      </c>
      <c r="D2" s="49" t="s">
        <v>73</v>
      </c>
      <c r="E2" s="62" t="s">
        <v>74</v>
      </c>
      <c r="F2" s="53" t="s">
        <v>75</v>
      </c>
      <c r="G2" s="61"/>
      <c r="H2" s="61"/>
    </row>
    <row r="3" spans="1:8" ht="409.5" customHeight="1">
      <c r="A3" s="61">
        <v>2</v>
      </c>
      <c r="B3" s="41" t="s">
        <v>76</v>
      </c>
      <c r="C3" s="37" t="s">
        <v>77</v>
      </c>
      <c r="D3" s="49" t="s">
        <v>73</v>
      </c>
      <c r="E3" s="62" t="s">
        <v>74</v>
      </c>
      <c r="F3" s="53" t="s">
        <v>78</v>
      </c>
      <c r="G3" s="61"/>
      <c r="H3" s="61"/>
    </row>
    <row r="4" spans="1:8" ht="409.5" customHeight="1">
      <c r="A4" s="61">
        <v>3</v>
      </c>
      <c r="B4" s="41" t="s">
        <v>79</v>
      </c>
      <c r="C4" s="37" t="s">
        <v>80</v>
      </c>
      <c r="D4" s="49" t="s">
        <v>81</v>
      </c>
      <c r="E4" s="63" t="s">
        <v>82</v>
      </c>
      <c r="F4" s="53" t="s">
        <v>83</v>
      </c>
      <c r="G4" s="61"/>
      <c r="H4" s="61"/>
    </row>
    <row r="5" spans="1:8" ht="409.5" customHeight="1">
      <c r="A5" s="61">
        <v>4</v>
      </c>
      <c r="B5" s="41" t="s">
        <v>84</v>
      </c>
      <c r="C5" s="37" t="s">
        <v>85</v>
      </c>
      <c r="D5" s="49" t="s">
        <v>73</v>
      </c>
      <c r="E5" s="63" t="s">
        <v>82</v>
      </c>
      <c r="F5" s="53" t="s">
        <v>86</v>
      </c>
      <c r="G5" s="61"/>
      <c r="H5" s="61"/>
    </row>
    <row r="6" spans="1:8" ht="409.5" customHeight="1">
      <c r="A6" s="61">
        <v>5</v>
      </c>
      <c r="B6" s="41" t="s">
        <v>87</v>
      </c>
      <c r="C6" s="37" t="s">
        <v>88</v>
      </c>
      <c r="D6" s="49" t="s">
        <v>81</v>
      </c>
      <c r="E6" s="64" t="s">
        <v>89</v>
      </c>
      <c r="F6" s="53" t="s">
        <v>90</v>
      </c>
      <c r="G6" s="61"/>
      <c r="H6" s="61"/>
    </row>
    <row r="7" spans="1:8" ht="409.5" customHeight="1">
      <c r="A7" s="61">
        <v>6</v>
      </c>
      <c r="B7" s="41" t="s">
        <v>91</v>
      </c>
      <c r="C7" s="37" t="s">
        <v>92</v>
      </c>
      <c r="D7" s="49" t="s">
        <v>81</v>
      </c>
      <c r="E7" s="62" t="s">
        <v>74</v>
      </c>
      <c r="F7" s="53" t="s">
        <v>93</v>
      </c>
      <c r="G7" s="61"/>
      <c r="H7" s="61"/>
    </row>
    <row r="8" spans="1:8" ht="409.5" customHeight="1">
      <c r="A8" s="61">
        <v>7</v>
      </c>
      <c r="B8" s="41" t="s">
        <v>94</v>
      </c>
      <c r="C8" s="37" t="s">
        <v>95</v>
      </c>
      <c r="D8" s="49" t="s">
        <v>81</v>
      </c>
      <c r="E8" s="62" t="s">
        <v>74</v>
      </c>
      <c r="F8" s="53" t="s">
        <v>96</v>
      </c>
      <c r="G8" s="61"/>
      <c r="H8" s="61"/>
    </row>
    <row r="9" spans="1:8" ht="409.5" customHeight="1">
      <c r="A9" s="61">
        <v>8</v>
      </c>
      <c r="B9" s="41" t="s">
        <v>97</v>
      </c>
      <c r="C9" s="37" t="s">
        <v>98</v>
      </c>
      <c r="D9" s="49" t="s">
        <v>81</v>
      </c>
      <c r="E9" s="62" t="s">
        <v>74</v>
      </c>
      <c r="F9" s="53" t="s">
        <v>99</v>
      </c>
      <c r="G9" s="61"/>
      <c r="H9" s="61"/>
    </row>
    <row r="10" spans="1:8" ht="409.5" customHeight="1">
      <c r="A10" s="61">
        <v>9</v>
      </c>
      <c r="B10" s="41" t="s">
        <v>100</v>
      </c>
      <c r="C10" s="37" t="s">
        <v>101</v>
      </c>
      <c r="D10" s="49" t="s">
        <v>81</v>
      </c>
      <c r="E10" s="63" t="s">
        <v>82</v>
      </c>
      <c r="F10" s="53" t="s">
        <v>102</v>
      </c>
      <c r="G10" s="61"/>
      <c r="H10" s="61"/>
    </row>
    <row r="11" spans="1:8" ht="409.5" customHeight="1">
      <c r="A11" s="61">
        <v>10</v>
      </c>
      <c r="B11" s="41" t="s">
        <v>103</v>
      </c>
      <c r="C11" s="37" t="s">
        <v>104</v>
      </c>
      <c r="D11" s="49" t="s">
        <v>81</v>
      </c>
      <c r="E11" s="63" t="s">
        <v>82</v>
      </c>
      <c r="F11" s="53" t="s">
        <v>105</v>
      </c>
      <c r="G11" s="61"/>
      <c r="H11" s="61"/>
    </row>
    <row r="12" spans="1:8" ht="409.5" customHeight="1">
      <c r="A12" s="61">
        <v>11</v>
      </c>
      <c r="B12" s="41" t="s">
        <v>106</v>
      </c>
      <c r="C12" s="37" t="s">
        <v>107</v>
      </c>
      <c r="D12" s="49" t="s">
        <v>81</v>
      </c>
      <c r="E12" s="63" t="s">
        <v>82</v>
      </c>
      <c r="F12" s="53" t="s">
        <v>108</v>
      </c>
      <c r="G12" s="61"/>
      <c r="H12" s="61"/>
    </row>
    <row r="13" spans="1:8" ht="409.5" customHeight="1">
      <c r="A13" s="61">
        <v>12</v>
      </c>
      <c r="B13" s="41" t="s">
        <v>109</v>
      </c>
      <c r="C13" s="37" t="s">
        <v>110</v>
      </c>
      <c r="D13" s="49" t="s">
        <v>81</v>
      </c>
      <c r="E13" s="63" t="s">
        <v>82</v>
      </c>
      <c r="F13" s="53" t="s">
        <v>111</v>
      </c>
      <c r="G13" s="61"/>
      <c r="H13" s="61"/>
    </row>
    <row r="14" spans="1:8" ht="409.5" customHeight="1">
      <c r="A14" s="61">
        <v>13</v>
      </c>
      <c r="B14" s="41" t="s">
        <v>112</v>
      </c>
      <c r="C14" s="37" t="s">
        <v>113</v>
      </c>
      <c r="D14" s="53"/>
      <c r="E14" s="63" t="s">
        <v>82</v>
      </c>
      <c r="F14" s="53" t="s">
        <v>114</v>
      </c>
      <c r="G14" s="61"/>
      <c r="H14" s="61"/>
    </row>
    <row r="15" spans="1:8" ht="409.5" customHeight="1">
      <c r="A15" s="61">
        <v>14</v>
      </c>
      <c r="B15" s="41" t="s">
        <v>115</v>
      </c>
      <c r="C15" s="37" t="s">
        <v>116</v>
      </c>
      <c r="D15" s="53"/>
      <c r="E15" s="62" t="s">
        <v>74</v>
      </c>
      <c r="F15" s="53" t="s">
        <v>117</v>
      </c>
      <c r="G15" s="61"/>
      <c r="H15" s="61"/>
    </row>
    <row r="16" spans="1:8" ht="409.5" customHeight="1">
      <c r="A16" s="61">
        <v>15</v>
      </c>
      <c r="B16" s="41" t="s">
        <v>118</v>
      </c>
      <c r="C16" s="37" t="s">
        <v>119</v>
      </c>
      <c r="D16" s="53"/>
      <c r="E16" s="64" t="s">
        <v>89</v>
      </c>
      <c r="F16" s="53" t="s">
        <v>120</v>
      </c>
      <c r="G16" s="61"/>
      <c r="H16" s="61"/>
    </row>
    <row r="17" spans="1:6" ht="409.5" customHeight="1">
      <c r="A17" s="61">
        <v>16</v>
      </c>
      <c r="B17" s="41" t="s">
        <v>121</v>
      </c>
      <c r="C17" s="37" t="s">
        <v>122</v>
      </c>
      <c r="D17" s="53"/>
      <c r="E17" s="64" t="s">
        <v>89</v>
      </c>
      <c r="F17" s="52" t="s">
        <v>123</v>
      </c>
    </row>
    <row r="18" spans="1:6" ht="409.5" customHeight="1">
      <c r="A18" s="61">
        <v>17</v>
      </c>
      <c r="B18" s="41" t="s">
        <v>124</v>
      </c>
      <c r="C18" s="37" t="s">
        <v>125</v>
      </c>
      <c r="D18" s="53"/>
      <c r="E18" s="62" t="s">
        <v>74</v>
      </c>
      <c r="F18" s="53" t="s">
        <v>126</v>
      </c>
    </row>
    <row r="19" spans="1:6" ht="409.5" customHeight="1">
      <c r="A19" s="61">
        <v>18</v>
      </c>
      <c r="B19" s="41" t="s">
        <v>127</v>
      </c>
      <c r="C19" s="37" t="s">
        <v>128</v>
      </c>
      <c r="D19" s="53"/>
      <c r="E19" s="62" t="s">
        <v>74</v>
      </c>
      <c r="F19" s="53" t="s">
        <v>129</v>
      </c>
    </row>
    <row r="20" spans="1:6" ht="409.5" customHeight="1">
      <c r="A20" s="61">
        <v>19</v>
      </c>
      <c r="B20" s="41" t="s">
        <v>130</v>
      </c>
      <c r="C20" s="37" t="s">
        <v>131</v>
      </c>
      <c r="D20" s="53"/>
      <c r="E20" s="63" t="s">
        <v>82</v>
      </c>
      <c r="F20" s="53" t="s">
        <v>132</v>
      </c>
    </row>
    <row r="21" spans="1:6" ht="409.5">
      <c r="A21" s="61">
        <v>20</v>
      </c>
      <c r="B21" s="41" t="s">
        <v>133</v>
      </c>
      <c r="C21" s="43" t="s">
        <v>134</v>
      </c>
      <c r="D21" s="65"/>
      <c r="E21" s="63" t="s">
        <v>82</v>
      </c>
      <c r="F21" s="53" t="s">
        <v>135</v>
      </c>
    </row>
    <row r="22" spans="1:6" ht="409.5">
      <c r="A22" s="61">
        <v>21</v>
      </c>
      <c r="B22" s="41" t="s">
        <v>136</v>
      </c>
      <c r="C22" s="43" t="s">
        <v>137</v>
      </c>
      <c r="D22" s="65"/>
      <c r="E22" s="63" t="s">
        <v>82</v>
      </c>
      <c r="F22" s="53" t="s">
        <v>138</v>
      </c>
    </row>
    <row r="23" spans="1:6" ht="409.5">
      <c r="A23" s="61">
        <v>22</v>
      </c>
      <c r="B23" s="41" t="s">
        <v>139</v>
      </c>
      <c r="C23" s="43" t="s">
        <v>140</v>
      </c>
      <c r="D23" s="65"/>
      <c r="E23" s="63" t="s">
        <v>82</v>
      </c>
      <c r="F23" s="53" t="s">
        <v>141</v>
      </c>
    </row>
    <row r="24" spans="1:6" ht="409.5">
      <c r="A24" s="61">
        <v>23</v>
      </c>
      <c r="B24" s="41" t="s">
        <v>142</v>
      </c>
      <c r="C24" s="43" t="s">
        <v>143</v>
      </c>
      <c r="D24" s="65"/>
      <c r="E24" s="62" t="s">
        <v>74</v>
      </c>
      <c r="F24" s="53" t="s">
        <v>144</v>
      </c>
    </row>
    <row r="25" spans="1:6" ht="409.5">
      <c r="A25" s="61">
        <v>24</v>
      </c>
      <c r="B25" s="41" t="s">
        <v>145</v>
      </c>
      <c r="C25" s="43" t="s">
        <v>146</v>
      </c>
      <c r="D25" s="65"/>
      <c r="E25" s="64" t="s">
        <v>89</v>
      </c>
      <c r="F25" s="54" t="s">
        <v>123</v>
      </c>
    </row>
    <row r="26" spans="1:6" ht="409.5">
      <c r="A26" s="61">
        <v>25</v>
      </c>
      <c r="B26" s="41" t="s">
        <v>147</v>
      </c>
      <c r="C26" s="43" t="s">
        <v>148</v>
      </c>
      <c r="D26" s="65"/>
      <c r="E26" s="64" t="s">
        <v>89</v>
      </c>
      <c r="F26" s="54" t="s">
        <v>123</v>
      </c>
    </row>
    <row r="27" spans="1:6" ht="409.5">
      <c r="A27" s="61">
        <v>26</v>
      </c>
      <c r="B27" s="41" t="s">
        <v>149</v>
      </c>
      <c r="C27" s="43" t="s">
        <v>150</v>
      </c>
      <c r="D27" s="65"/>
      <c r="E27" s="63" t="s">
        <v>82</v>
      </c>
      <c r="F27" s="53" t="s">
        <v>151</v>
      </c>
    </row>
    <row r="28" spans="1:6" ht="130.15" customHeight="1">
      <c r="A28" s="61">
        <v>27</v>
      </c>
      <c r="B28" s="41" t="s">
        <v>152</v>
      </c>
      <c r="C28" s="43" t="s">
        <v>153</v>
      </c>
      <c r="D28" s="65"/>
      <c r="E28" s="63" t="s">
        <v>82</v>
      </c>
      <c r="F28" s="53" t="s">
        <v>154</v>
      </c>
    </row>
    <row r="29" spans="1:6" ht="409.5">
      <c r="A29" s="61">
        <v>28</v>
      </c>
      <c r="B29" s="41" t="s">
        <v>155</v>
      </c>
      <c r="C29" s="43" t="s">
        <v>156</v>
      </c>
      <c r="D29" s="65"/>
      <c r="E29" s="64" t="s">
        <v>89</v>
      </c>
      <c r="F29" s="54" t="s">
        <v>157</v>
      </c>
    </row>
    <row r="30" spans="1:6" ht="409.5">
      <c r="A30" s="61">
        <v>29</v>
      </c>
      <c r="B30" s="41" t="s">
        <v>158</v>
      </c>
      <c r="C30" s="43" t="s">
        <v>159</v>
      </c>
      <c r="D30" s="65"/>
      <c r="E30" s="64" t="s">
        <v>89</v>
      </c>
      <c r="F30" s="53" t="s">
        <v>160</v>
      </c>
    </row>
    <row r="31" spans="1:6" ht="409.5">
      <c r="A31" s="61">
        <v>30</v>
      </c>
      <c r="B31" s="41" t="s">
        <v>161</v>
      </c>
      <c r="C31" s="43" t="s">
        <v>162</v>
      </c>
      <c r="D31" s="65"/>
      <c r="E31" s="62" t="s">
        <v>74</v>
      </c>
      <c r="F31" s="53" t="s">
        <v>163</v>
      </c>
    </row>
    <row r="32" spans="1:6" ht="409.5">
      <c r="A32" s="61">
        <v>31</v>
      </c>
      <c r="B32" s="41" t="s">
        <v>164</v>
      </c>
      <c r="C32" s="43" t="s">
        <v>165</v>
      </c>
      <c r="D32" s="65"/>
      <c r="E32" s="64" t="s">
        <v>89</v>
      </c>
      <c r="F32" s="53" t="s">
        <v>123</v>
      </c>
    </row>
    <row r="33" spans="1:6" ht="409.5">
      <c r="A33" s="61">
        <v>32</v>
      </c>
      <c r="B33" s="41" t="s">
        <v>166</v>
      </c>
      <c r="C33" s="43" t="s">
        <v>167</v>
      </c>
      <c r="D33" s="65"/>
      <c r="E33" s="62" t="s">
        <v>74</v>
      </c>
      <c r="F33" s="53" t="s">
        <v>168</v>
      </c>
    </row>
    <row r="34" spans="1:6" ht="409.5">
      <c r="A34" s="61">
        <v>33</v>
      </c>
      <c r="B34" s="41" t="s">
        <v>169</v>
      </c>
      <c r="C34" s="43" t="s">
        <v>170</v>
      </c>
      <c r="D34" s="65"/>
      <c r="E34" s="62" t="s">
        <v>74</v>
      </c>
      <c r="F34" s="53" t="s">
        <v>171</v>
      </c>
    </row>
    <row r="35" spans="1:6" ht="409.5">
      <c r="A35" s="61">
        <v>34</v>
      </c>
      <c r="B35" s="41" t="s">
        <v>172</v>
      </c>
      <c r="C35" s="43" t="s">
        <v>173</v>
      </c>
      <c r="D35" s="65"/>
      <c r="E35" s="64" t="s">
        <v>89</v>
      </c>
      <c r="F35" s="54" t="s">
        <v>123</v>
      </c>
    </row>
    <row r="36" spans="1:6" ht="409.5">
      <c r="A36" s="61">
        <v>35</v>
      </c>
      <c r="B36" s="41" t="s">
        <v>174</v>
      </c>
      <c r="C36" s="43" t="s">
        <v>173</v>
      </c>
      <c r="D36" s="65"/>
      <c r="E36" s="62" t="s">
        <v>74</v>
      </c>
      <c r="F36" s="53" t="s">
        <v>175</v>
      </c>
    </row>
    <row r="37" spans="1:6" ht="409.5">
      <c r="A37" s="61">
        <v>36</v>
      </c>
      <c r="B37" s="41" t="s">
        <v>176</v>
      </c>
      <c r="C37" s="43" t="s">
        <v>177</v>
      </c>
      <c r="D37" s="65"/>
      <c r="E37" s="64" t="s">
        <v>89</v>
      </c>
      <c r="F37" s="53" t="s">
        <v>123</v>
      </c>
    </row>
    <row r="38" spans="1:6" ht="409.5">
      <c r="A38" s="61">
        <v>37</v>
      </c>
      <c r="B38" s="41" t="s">
        <v>178</v>
      </c>
      <c r="C38" s="43" t="s">
        <v>179</v>
      </c>
      <c r="D38" s="65"/>
      <c r="E38" s="63" t="s">
        <v>82</v>
      </c>
      <c r="F38" s="53" t="s">
        <v>180</v>
      </c>
    </row>
    <row r="39" spans="1:6" ht="409.5">
      <c r="A39" s="61">
        <v>38</v>
      </c>
      <c r="B39" s="41" t="s">
        <v>181</v>
      </c>
      <c r="C39" s="43" t="s">
        <v>182</v>
      </c>
      <c r="D39" s="65"/>
      <c r="E39" s="62" t="s">
        <v>74</v>
      </c>
      <c r="F39" s="53" t="s">
        <v>183</v>
      </c>
    </row>
    <row r="40" spans="1:6" ht="409.5">
      <c r="A40" s="61">
        <v>39</v>
      </c>
      <c r="B40" s="41" t="s">
        <v>184</v>
      </c>
      <c r="C40" s="43" t="s">
        <v>185</v>
      </c>
      <c r="D40" s="65"/>
      <c r="E40" s="63" t="s">
        <v>82</v>
      </c>
      <c r="F40" s="53" t="s">
        <v>186</v>
      </c>
    </row>
    <row r="41" spans="1:6" ht="409.5">
      <c r="A41" s="61">
        <v>40</v>
      </c>
      <c r="B41" s="41" t="s">
        <v>187</v>
      </c>
      <c r="C41" s="43" t="s">
        <v>188</v>
      </c>
      <c r="D41" s="65"/>
      <c r="E41" s="64" t="s">
        <v>89</v>
      </c>
      <c r="F41" s="54" t="s">
        <v>123</v>
      </c>
    </row>
    <row r="42" spans="1:6" ht="409.5">
      <c r="A42" s="61">
        <v>41</v>
      </c>
      <c r="B42" s="41" t="s">
        <v>189</v>
      </c>
      <c r="C42" s="43" t="s">
        <v>190</v>
      </c>
      <c r="D42" s="65"/>
      <c r="E42" s="63" t="s">
        <v>82</v>
      </c>
      <c r="F42" s="53" t="s">
        <v>191</v>
      </c>
    </row>
    <row r="43" spans="1:6" ht="409.5">
      <c r="A43" s="61">
        <v>42</v>
      </c>
      <c r="B43" s="41" t="s">
        <v>192</v>
      </c>
      <c r="C43" s="43" t="s">
        <v>193</v>
      </c>
      <c r="D43" s="65"/>
      <c r="E43" s="62" t="s">
        <v>74</v>
      </c>
      <c r="F43" s="53" t="s">
        <v>194</v>
      </c>
    </row>
    <row r="44" spans="1:6" ht="409.5">
      <c r="A44" s="61">
        <v>43</v>
      </c>
      <c r="B44" s="41" t="s">
        <v>195</v>
      </c>
      <c r="C44" s="43" t="s">
        <v>196</v>
      </c>
      <c r="D44" s="65"/>
      <c r="E44" s="63" t="s">
        <v>82</v>
      </c>
      <c r="F44" s="53" t="s">
        <v>197</v>
      </c>
    </row>
    <row r="45" spans="1:6" ht="409.5">
      <c r="A45" s="61">
        <v>44</v>
      </c>
      <c r="B45" s="41" t="s">
        <v>198</v>
      </c>
      <c r="C45" s="43" t="s">
        <v>199</v>
      </c>
      <c r="D45" s="65"/>
      <c r="E45" s="63" t="s">
        <v>82</v>
      </c>
      <c r="F45" s="53" t="s">
        <v>200</v>
      </c>
    </row>
  </sheetData>
  <dataValidations disablePrompts="1" count="1">
    <dataValidation type="list" allowBlank="1" showInputMessage="1" showErrorMessage="1" sqref="E2:E45" xr:uid="{BFD4D6B8-FF70-4E63-B750-7E4780A6BA35}">
      <formula1>"Good, Neutral, Bad"</formula1>
    </dataValidation>
  </dataValidations>
  <hyperlinks>
    <hyperlink ref="D2" r:id="rId1" xr:uid="{00000000-0004-0000-0100-000000000000}"/>
    <hyperlink ref="D3" r:id="rId2" xr:uid="{00000000-0004-0000-0100-000001000000}"/>
    <hyperlink ref="D4" r:id="rId3" xr:uid="{00000000-0004-0000-0100-000002000000}"/>
    <hyperlink ref="D5" r:id="rId4" xr:uid="{00000000-0004-0000-0100-000003000000}"/>
    <hyperlink ref="D6" r:id="rId5" xr:uid="{00000000-0004-0000-0100-000004000000}"/>
    <hyperlink ref="D7" r:id="rId6" xr:uid="{00000000-0004-0000-0100-000005000000}"/>
    <hyperlink ref="D8" r:id="rId7" xr:uid="{00000000-0004-0000-0100-000006000000}"/>
    <hyperlink ref="D9" r:id="rId8" xr:uid="{00000000-0004-0000-0100-000007000000}"/>
    <hyperlink ref="D10" r:id="rId9" xr:uid="{00000000-0004-0000-0100-000008000000}"/>
    <hyperlink ref="D11" r:id="rId10" xr:uid="{00000000-0004-0000-0100-000009000000}"/>
    <hyperlink ref="D12" r:id="rId11" xr:uid="{00000000-0004-0000-0100-00000A000000}"/>
    <hyperlink ref="D13" r:id="rId12" xr:uid="{00000000-0004-0000-0100-00000B000000}"/>
  </hyperlinks>
  <pageMargins left="0.7" right="0.7" top="0.75" bottom="0.75" header="0.3" footer="0.3"/>
  <pageSetup orientation="portrait"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1"/>
  <sheetViews>
    <sheetView topLeftCell="A32" zoomScaleNormal="100" workbookViewId="0">
      <selection activeCell="D11" sqref="D11"/>
    </sheetView>
  </sheetViews>
  <sheetFormatPr defaultColWidth="8.85546875" defaultRowHeight="14.45"/>
  <cols>
    <col min="2" max="2" width="55.85546875" style="4" customWidth="1"/>
    <col min="3" max="3" width="63.42578125" style="59" customWidth="1"/>
    <col min="4" max="4" width="43.7109375" style="4" customWidth="1"/>
    <col min="5" max="5" width="26.85546875" style="55" customWidth="1"/>
    <col min="6" max="6" width="35.85546875" style="9" customWidth="1"/>
    <col min="7" max="7" width="21.7109375" bestFit="1" customWidth="1"/>
    <col min="8" max="8" width="6.140625" bestFit="1" customWidth="1"/>
  </cols>
  <sheetData>
    <row r="1" spans="1:8" s="1" customFormat="1" ht="30" customHeight="1">
      <c r="A1" s="6" t="s">
        <v>65</v>
      </c>
      <c r="B1" s="7" t="s">
        <v>42</v>
      </c>
      <c r="C1" s="8" t="s">
        <v>66</v>
      </c>
      <c r="D1" s="7" t="s">
        <v>67</v>
      </c>
      <c r="E1" s="6" t="s">
        <v>8</v>
      </c>
      <c r="F1" s="8" t="s">
        <v>68</v>
      </c>
      <c r="G1" s="8" t="s">
        <v>69</v>
      </c>
      <c r="H1" s="8" t="s">
        <v>70</v>
      </c>
    </row>
    <row r="2" spans="1:8" ht="96" customHeight="1">
      <c r="A2" s="1">
        <v>1</v>
      </c>
      <c r="B2" s="58" t="s">
        <v>201</v>
      </c>
      <c r="C2" s="59" t="s">
        <v>202</v>
      </c>
      <c r="D2" s="56" t="s">
        <v>203</v>
      </c>
      <c r="E2" s="57" t="s">
        <v>74</v>
      </c>
      <c r="F2" s="58" t="s">
        <v>204</v>
      </c>
    </row>
    <row r="3" spans="1:8" ht="178.5" customHeight="1">
      <c r="A3" s="1">
        <v>2</v>
      </c>
      <c r="B3" s="58" t="s">
        <v>205</v>
      </c>
      <c r="C3" s="59" t="s">
        <v>206</v>
      </c>
      <c r="D3" s="5" t="s">
        <v>207</v>
      </c>
      <c r="E3" s="57" t="s">
        <v>74</v>
      </c>
      <c r="F3" s="58" t="s">
        <v>208</v>
      </c>
    </row>
    <row r="4" spans="1:8" ht="207.95" customHeight="1">
      <c r="A4" s="1">
        <v>3</v>
      </c>
      <c r="B4" s="58" t="s">
        <v>209</v>
      </c>
      <c r="C4" s="59" t="s">
        <v>210</v>
      </c>
      <c r="D4" s="5" t="s">
        <v>203</v>
      </c>
      <c r="E4" s="60" t="s">
        <v>89</v>
      </c>
      <c r="F4" s="2" t="s">
        <v>211</v>
      </c>
    </row>
    <row r="5" spans="1:8" ht="159.94999999999999" customHeight="1">
      <c r="A5" s="1">
        <v>4</v>
      </c>
      <c r="B5" s="58" t="s">
        <v>212</v>
      </c>
      <c r="C5" s="59" t="s">
        <v>213</v>
      </c>
      <c r="D5" s="56" t="s">
        <v>203</v>
      </c>
      <c r="E5" s="67" t="s">
        <v>89</v>
      </c>
      <c r="F5" s="68" t="s">
        <v>214</v>
      </c>
    </row>
    <row r="6" spans="1:8" ht="96" customHeight="1">
      <c r="A6" s="1">
        <v>5</v>
      </c>
      <c r="B6" s="58" t="s">
        <v>215</v>
      </c>
      <c r="C6" s="59" t="s">
        <v>216</v>
      </c>
      <c r="D6" s="5" t="s">
        <v>203</v>
      </c>
      <c r="E6" s="60" t="s">
        <v>89</v>
      </c>
      <c r="F6" s="68" t="s">
        <v>217</v>
      </c>
    </row>
    <row r="7" spans="1:8" ht="96" customHeight="1">
      <c r="A7" s="1">
        <v>6</v>
      </c>
      <c r="B7" s="58" t="s">
        <v>218</v>
      </c>
      <c r="C7" s="59" t="s">
        <v>219</v>
      </c>
      <c r="D7" s="5" t="s">
        <v>203</v>
      </c>
      <c r="E7" s="60" t="s">
        <v>89</v>
      </c>
      <c r="F7" s="2" t="s">
        <v>220</v>
      </c>
    </row>
    <row r="8" spans="1:8" ht="96" customHeight="1">
      <c r="A8" s="1">
        <v>7</v>
      </c>
      <c r="B8" s="58" t="s">
        <v>221</v>
      </c>
      <c r="C8" s="59" t="s">
        <v>222</v>
      </c>
      <c r="D8" s="5" t="s">
        <v>203</v>
      </c>
      <c r="E8" s="60" t="s">
        <v>89</v>
      </c>
      <c r="F8" s="68" t="s">
        <v>223</v>
      </c>
    </row>
    <row r="9" spans="1:8" ht="302.45">
      <c r="A9" s="1">
        <v>8</v>
      </c>
      <c r="B9" s="58" t="s">
        <v>224</v>
      </c>
      <c r="C9" s="59" t="s">
        <v>225</v>
      </c>
      <c r="D9" s="5" t="s">
        <v>226</v>
      </c>
      <c r="E9" s="66" t="s">
        <v>82</v>
      </c>
      <c r="F9" s="58" t="s">
        <v>227</v>
      </c>
    </row>
    <row r="10" spans="1:8" ht="335.1" customHeight="1">
      <c r="A10" s="1">
        <v>9</v>
      </c>
      <c r="B10" s="58" t="s">
        <v>228</v>
      </c>
      <c r="C10" s="59" t="s">
        <v>229</v>
      </c>
      <c r="D10" s="5" t="s">
        <v>230</v>
      </c>
      <c r="E10" s="60" t="s">
        <v>89</v>
      </c>
      <c r="F10" s="2" t="s">
        <v>220</v>
      </c>
    </row>
    <row r="11" spans="1:8" ht="240" customHeight="1">
      <c r="A11" s="1">
        <v>10</v>
      </c>
      <c r="B11" s="58" t="s">
        <v>231</v>
      </c>
      <c r="C11" s="59" t="s">
        <v>232</v>
      </c>
      <c r="D11" s="5" t="s">
        <v>233</v>
      </c>
      <c r="E11" s="71" t="s">
        <v>74</v>
      </c>
      <c r="F11" s="2" t="s">
        <v>234</v>
      </c>
    </row>
    <row r="12" spans="1:8" ht="159.94999999999999" customHeight="1">
      <c r="A12" s="1">
        <v>11</v>
      </c>
      <c r="B12" s="58" t="s">
        <v>235</v>
      </c>
      <c r="C12" s="59" t="s">
        <v>236</v>
      </c>
      <c r="D12" s="5" t="s">
        <v>237</v>
      </c>
      <c r="E12" s="57" t="s">
        <v>74</v>
      </c>
      <c r="F12" s="58" t="s">
        <v>238</v>
      </c>
    </row>
    <row r="13" spans="1:8" ht="192" customHeight="1">
      <c r="A13" s="1">
        <v>12</v>
      </c>
      <c r="B13" s="58" t="s">
        <v>239</v>
      </c>
      <c r="C13" s="59" t="s">
        <v>240</v>
      </c>
      <c r="D13" s="56" t="s">
        <v>241</v>
      </c>
      <c r="E13" s="60" t="s">
        <v>89</v>
      </c>
      <c r="F13" s="69" t="s">
        <v>242</v>
      </c>
    </row>
    <row r="14" spans="1:8" ht="101.1" customHeight="1">
      <c r="A14" s="1">
        <v>13</v>
      </c>
      <c r="B14" s="59" t="s">
        <v>243</v>
      </c>
      <c r="C14" s="59" t="s">
        <v>244</v>
      </c>
      <c r="D14" s="3"/>
      <c r="E14" s="60" t="s">
        <v>89</v>
      </c>
      <c r="F14" s="2" t="s">
        <v>220</v>
      </c>
    </row>
    <row r="15" spans="1:8" ht="271.5" customHeight="1">
      <c r="A15" s="1">
        <v>14</v>
      </c>
      <c r="B15" s="59" t="s">
        <v>245</v>
      </c>
      <c r="C15" s="59" t="s">
        <v>246</v>
      </c>
      <c r="D15" s="3"/>
      <c r="E15" s="60" t="s">
        <v>89</v>
      </c>
      <c r="F15" s="68" t="s">
        <v>247</v>
      </c>
    </row>
    <row r="16" spans="1:8" ht="165.95" customHeight="1">
      <c r="A16" s="1">
        <v>15</v>
      </c>
      <c r="B16" s="59" t="s">
        <v>248</v>
      </c>
      <c r="C16" s="59" t="s">
        <v>249</v>
      </c>
      <c r="D16" s="3"/>
      <c r="E16" s="60" t="s">
        <v>89</v>
      </c>
      <c r="F16" s="2" t="s">
        <v>220</v>
      </c>
    </row>
    <row r="17" spans="1:6" ht="409.5">
      <c r="A17" s="1">
        <v>16</v>
      </c>
      <c r="B17" s="59" t="s">
        <v>250</v>
      </c>
      <c r="C17" s="59" t="s">
        <v>251</v>
      </c>
      <c r="D17" s="3"/>
      <c r="E17" s="66" t="s">
        <v>82</v>
      </c>
      <c r="F17" s="58" t="s">
        <v>252</v>
      </c>
    </row>
    <row r="18" spans="1:6" ht="156.94999999999999" customHeight="1">
      <c r="A18" s="1">
        <v>17</v>
      </c>
      <c r="B18" s="59" t="s">
        <v>253</v>
      </c>
      <c r="C18" s="59" t="s">
        <v>254</v>
      </c>
      <c r="D18" s="10" t="s">
        <v>255</v>
      </c>
      <c r="E18" s="66" t="s">
        <v>82</v>
      </c>
      <c r="F18" s="58" t="s">
        <v>256</v>
      </c>
    </row>
    <row r="19" spans="1:6" ht="96" customHeight="1">
      <c r="A19" s="1">
        <v>18</v>
      </c>
      <c r="B19" s="59" t="s">
        <v>257</v>
      </c>
      <c r="C19" s="59" t="s">
        <v>258</v>
      </c>
      <c r="D19" s="3"/>
      <c r="E19" s="57" t="s">
        <v>74</v>
      </c>
      <c r="F19" s="2" t="s">
        <v>220</v>
      </c>
    </row>
    <row r="20" spans="1:6" ht="111.95" customHeight="1">
      <c r="A20" s="1">
        <v>19</v>
      </c>
      <c r="B20" s="59" t="s">
        <v>259</v>
      </c>
      <c r="C20" s="59" t="s">
        <v>260</v>
      </c>
      <c r="D20" s="10" t="s">
        <v>203</v>
      </c>
      <c r="E20" s="57" t="s">
        <v>74</v>
      </c>
      <c r="F20" s="58" t="s">
        <v>261</v>
      </c>
    </row>
    <row r="21" spans="1:6" ht="111.95" customHeight="1">
      <c r="A21" s="1">
        <v>20</v>
      </c>
      <c r="B21" s="59" t="s">
        <v>262</v>
      </c>
      <c r="C21" s="59" t="s">
        <v>263</v>
      </c>
      <c r="D21" s="3"/>
      <c r="E21" s="66" t="s">
        <v>82</v>
      </c>
      <c r="F21" s="2" t="s">
        <v>264</v>
      </c>
    </row>
    <row r="22" spans="1:6" ht="96" customHeight="1">
      <c r="A22" s="1">
        <v>21</v>
      </c>
      <c r="B22" s="59" t="s">
        <v>265</v>
      </c>
      <c r="C22" s="59" t="s">
        <v>266</v>
      </c>
      <c r="D22" s="3"/>
      <c r="E22" s="60" t="s">
        <v>89</v>
      </c>
      <c r="F22" s="58" t="s">
        <v>267</v>
      </c>
    </row>
    <row r="23" spans="1:6" ht="159.94999999999999" customHeight="1">
      <c r="A23" s="1">
        <v>22</v>
      </c>
      <c r="B23" s="59" t="s">
        <v>268</v>
      </c>
      <c r="C23" s="59" t="s">
        <v>269</v>
      </c>
      <c r="D23" s="3"/>
      <c r="E23" s="60" t="s">
        <v>89</v>
      </c>
      <c r="F23" s="2" t="s">
        <v>270</v>
      </c>
    </row>
    <row r="24" spans="1:6" ht="176.1" customHeight="1">
      <c r="A24" s="1">
        <v>23</v>
      </c>
      <c r="B24" s="59" t="s">
        <v>271</v>
      </c>
      <c r="C24" s="59" t="s">
        <v>272</v>
      </c>
      <c r="D24" s="3"/>
      <c r="E24" s="60" t="s">
        <v>89</v>
      </c>
      <c r="F24" s="2" t="s">
        <v>270</v>
      </c>
    </row>
    <row r="25" spans="1:6" ht="240" customHeight="1">
      <c r="A25" s="1">
        <v>24</v>
      </c>
      <c r="B25" s="59" t="s">
        <v>273</v>
      </c>
      <c r="C25" s="59" t="s">
        <v>274</v>
      </c>
      <c r="D25" s="3"/>
      <c r="E25" s="60" t="s">
        <v>89</v>
      </c>
      <c r="F25" s="2" t="s">
        <v>270</v>
      </c>
    </row>
    <row r="26" spans="1:6" ht="240" customHeight="1">
      <c r="A26" s="1">
        <v>25</v>
      </c>
      <c r="B26" s="59" t="s">
        <v>275</v>
      </c>
      <c r="C26" s="59" t="s">
        <v>276</v>
      </c>
      <c r="D26" s="3"/>
      <c r="E26" s="60" t="s">
        <v>89</v>
      </c>
      <c r="F26" s="70" t="s">
        <v>270</v>
      </c>
    </row>
    <row r="27" spans="1:6" ht="128.1" customHeight="1">
      <c r="A27" s="1">
        <v>26</v>
      </c>
      <c r="B27" s="59" t="s">
        <v>277</v>
      </c>
      <c r="C27" s="59" t="s">
        <v>278</v>
      </c>
      <c r="D27" s="3"/>
      <c r="E27" s="60" t="s">
        <v>89</v>
      </c>
      <c r="F27" s="2"/>
    </row>
    <row r="28" spans="1:6" ht="159.94999999999999" customHeight="1">
      <c r="A28" s="1">
        <v>27</v>
      </c>
      <c r="B28" s="59" t="s">
        <v>279</v>
      </c>
      <c r="C28" s="59" t="s">
        <v>280</v>
      </c>
      <c r="D28" s="3"/>
      <c r="E28" s="60" t="s">
        <v>89</v>
      </c>
      <c r="F28" s="2"/>
    </row>
    <row r="29" spans="1:6" ht="409.5" customHeight="1">
      <c r="A29" s="1">
        <v>28</v>
      </c>
      <c r="B29" s="59" t="s">
        <v>281</v>
      </c>
      <c r="C29" s="59" t="s">
        <v>282</v>
      </c>
      <c r="D29" s="3"/>
      <c r="E29" s="60" t="s">
        <v>89</v>
      </c>
      <c r="F29" s="2" t="s">
        <v>123</v>
      </c>
    </row>
    <row r="30" spans="1:6" ht="320.10000000000002" customHeight="1">
      <c r="A30" s="1">
        <v>29</v>
      </c>
      <c r="B30" s="59" t="s">
        <v>283</v>
      </c>
      <c r="C30" s="59" t="s">
        <v>284</v>
      </c>
      <c r="D30" s="3"/>
      <c r="E30" s="66" t="s">
        <v>82</v>
      </c>
      <c r="F30" s="58" t="s">
        <v>285</v>
      </c>
    </row>
    <row r="31" spans="1:6" ht="186" customHeight="1">
      <c r="A31" s="1">
        <v>30</v>
      </c>
      <c r="B31" s="59" t="s">
        <v>286</v>
      </c>
      <c r="C31" s="59" t="s">
        <v>287</v>
      </c>
      <c r="D31" s="3"/>
      <c r="E31" s="60" t="s">
        <v>89</v>
      </c>
      <c r="F31" s="2" t="s">
        <v>270</v>
      </c>
    </row>
    <row r="32" spans="1:6" ht="128.1" customHeight="1">
      <c r="A32" s="1">
        <v>31</v>
      </c>
      <c r="B32" s="59" t="s">
        <v>288</v>
      </c>
      <c r="C32" s="59" t="s">
        <v>289</v>
      </c>
      <c r="D32" s="10" t="s">
        <v>290</v>
      </c>
      <c r="E32" s="60" t="s">
        <v>89</v>
      </c>
      <c r="F32" s="2" t="s">
        <v>270</v>
      </c>
    </row>
    <row r="33" spans="1:6">
      <c r="A33" s="1"/>
      <c r="E33" s="1"/>
      <c r="F33" s="2"/>
    </row>
    <row r="34" spans="1:6">
      <c r="A34" s="1"/>
      <c r="E34" s="1"/>
      <c r="F34" s="2"/>
    </row>
    <row r="35" spans="1:6">
      <c r="A35" s="1"/>
      <c r="E35" s="1"/>
      <c r="F35" s="2"/>
    </row>
    <row r="36" spans="1:6">
      <c r="A36" s="1"/>
      <c r="E36" s="1"/>
      <c r="F36" s="2"/>
    </row>
    <row r="37" spans="1:6">
      <c r="A37" s="1"/>
      <c r="E37" s="1"/>
      <c r="F37" s="2"/>
    </row>
    <row r="38" spans="1:6">
      <c r="A38" s="1"/>
      <c r="E38" s="1"/>
      <c r="F38" s="2"/>
    </row>
    <row r="39" spans="1:6">
      <c r="A39" s="1"/>
      <c r="E39" s="1"/>
      <c r="F39" s="2"/>
    </row>
    <row r="40" spans="1:6">
      <c r="A40" s="1"/>
      <c r="E40" s="1"/>
      <c r="F40" s="2"/>
    </row>
    <row r="41" spans="1:6">
      <c r="A41" s="1"/>
      <c r="E41" s="1"/>
      <c r="F41" s="2"/>
    </row>
    <row r="42" spans="1:6">
      <c r="A42" s="1"/>
      <c r="E42" s="1"/>
      <c r="F42" s="2"/>
    </row>
    <row r="43" spans="1:6">
      <c r="A43" s="1"/>
      <c r="E43" s="1"/>
      <c r="F43" s="2"/>
    </row>
    <row r="44" spans="1:6">
      <c r="A44" s="1"/>
      <c r="E44" s="1"/>
      <c r="F44" s="2"/>
    </row>
    <row r="45" spans="1:6">
      <c r="A45" s="1"/>
      <c r="E45" s="1"/>
      <c r="F45" s="2"/>
    </row>
    <row r="46" spans="1:6">
      <c r="A46" s="1"/>
      <c r="E46" s="1"/>
      <c r="F46" s="2"/>
    </row>
    <row r="47" spans="1:6">
      <c r="A47" s="1"/>
    </row>
    <row r="48" spans="1:6">
      <c r="A48" s="1"/>
    </row>
    <row r="49" spans="1:1">
      <c r="A49" s="1"/>
    </row>
    <row r="50" spans="1:1">
      <c r="A50" s="1"/>
    </row>
    <row r="51" spans="1:1">
      <c r="A51" s="1"/>
    </row>
    <row r="52" spans="1:1">
      <c r="A52" s="1"/>
    </row>
    <row r="53" spans="1:1">
      <c r="A53" s="1"/>
    </row>
    <row r="54" spans="1:1">
      <c r="A54" s="1"/>
    </row>
    <row r="55" spans="1:1">
      <c r="A55" s="1"/>
    </row>
    <row r="56" spans="1:1">
      <c r="A56" s="1"/>
    </row>
    <row r="57" spans="1:1">
      <c r="A57" s="1"/>
    </row>
    <row r="58" spans="1:1">
      <c r="A58" s="1"/>
    </row>
    <row r="59" spans="1:1">
      <c r="A59" s="1"/>
    </row>
    <row r="60" spans="1:1">
      <c r="A60" s="1"/>
    </row>
    <row r="61" spans="1:1">
      <c r="A61" s="1"/>
    </row>
    <row r="62" spans="1:1">
      <c r="A62" s="1"/>
    </row>
    <row r="63" spans="1:1">
      <c r="A63" s="1"/>
    </row>
    <row r="64" spans="1:1">
      <c r="A64" s="1"/>
    </row>
    <row r="65" spans="1:1">
      <c r="A65" s="1"/>
    </row>
    <row r="66" spans="1:1">
      <c r="A66" s="1"/>
    </row>
    <row r="67" spans="1:1">
      <c r="A67" s="1"/>
    </row>
    <row r="68" spans="1:1">
      <c r="A68" s="1"/>
    </row>
    <row r="69" spans="1:1">
      <c r="A69" s="1"/>
    </row>
    <row r="70" spans="1:1">
      <c r="A70" s="1"/>
    </row>
    <row r="71" spans="1:1">
      <c r="A71" s="1"/>
    </row>
    <row r="72" spans="1:1">
      <c r="A72" s="1"/>
    </row>
    <row r="73" spans="1:1">
      <c r="A73" s="1"/>
    </row>
    <row r="74" spans="1:1">
      <c r="A74" s="1"/>
    </row>
    <row r="75" spans="1:1">
      <c r="A75" s="1"/>
    </row>
    <row r="76" spans="1:1">
      <c r="A76" s="1"/>
    </row>
    <row r="77" spans="1:1">
      <c r="A77" s="1"/>
    </row>
    <row r="78" spans="1:1">
      <c r="A78" s="1"/>
    </row>
    <row r="79" spans="1:1">
      <c r="A79" s="1"/>
    </row>
    <row r="80" spans="1:1">
      <c r="A80" s="1"/>
    </row>
    <row r="81" spans="1:1">
      <c r="A81" s="1"/>
    </row>
    <row r="82" spans="1:1">
      <c r="A82" s="1"/>
    </row>
    <row r="83" spans="1:1">
      <c r="A83" s="1"/>
    </row>
    <row r="84" spans="1:1">
      <c r="A84" s="1"/>
    </row>
    <row r="85" spans="1:1">
      <c r="A85" s="1"/>
    </row>
    <row r="86" spans="1:1">
      <c r="A86" s="1"/>
    </row>
    <row r="87" spans="1:1">
      <c r="A87" s="1"/>
    </row>
    <row r="88" spans="1:1">
      <c r="A88" s="1"/>
    </row>
    <row r="89" spans="1:1">
      <c r="A89" s="1"/>
    </row>
    <row r="90" spans="1:1">
      <c r="A90" s="1"/>
    </row>
    <row r="91" spans="1:1">
      <c r="A91" s="1"/>
    </row>
    <row r="92" spans="1:1">
      <c r="A92" s="1"/>
    </row>
    <row r="93" spans="1:1">
      <c r="A93" s="1"/>
    </row>
    <row r="94" spans="1:1">
      <c r="A94" s="1"/>
    </row>
    <row r="95" spans="1:1">
      <c r="A95" s="1"/>
    </row>
    <row r="96" spans="1:1">
      <c r="A96" s="1"/>
    </row>
    <row r="97" spans="1:1">
      <c r="A97" s="1"/>
    </row>
    <row r="98" spans="1:1">
      <c r="A98" s="1"/>
    </row>
    <row r="99" spans="1:1">
      <c r="A99" s="1"/>
    </row>
    <row r="100" spans="1:1">
      <c r="A100" s="1"/>
    </row>
    <row r="101" spans="1:1">
      <c r="A101" s="1"/>
    </row>
  </sheetData>
  <dataValidations count="1">
    <dataValidation type="list" allowBlank="1" showInputMessage="1" showErrorMessage="1" sqref="E2:E45" xr:uid="{BFC97DF2-CC22-445D-AEB0-59E8E3DFE28E}">
      <formula1>"Good, Neutral, Bad"</formula1>
    </dataValidation>
  </dataValidations>
  <hyperlinks>
    <hyperlink ref="D2" r:id="rId1" xr:uid="{00000000-0004-0000-0200-000000000000}"/>
    <hyperlink ref="D3" r:id="rId2" display="https://fortive.sharepoint.com/:p:/r/sites/FTV-TheFort/Shared%20Documents/_2025/Projects/KATA/Project%20Plan/Data/Kata%20files/FBS%20Learning%20Documents/value-stream-mapping-tied%20to%20elearning.pptx?d=w8e18cc86963b402d9a5f30e27d5ece6c&amp;csf=1&amp;web=1&amp;e=mSg8f4"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8" r:id="rId13" xr:uid="{00000000-0004-0000-0200-00000C000000}"/>
    <hyperlink ref="D20" r:id="rId14" xr:uid="{00000000-0004-0000-0200-00000D000000}"/>
    <hyperlink ref="D32" r:id="rId15" xr:uid="{00000000-0004-0000-0200-00000E000000}"/>
    <hyperlink ref="F13" r:id="rId16" display="https://miro.com/app/board/o9J_lbwMRwY=/" xr:uid="{412C0399-D161-4763-8858-F7CC3A2B9C9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6"/>
  <sheetViews>
    <sheetView tabSelected="1" zoomScale="145" zoomScaleNormal="145" workbookViewId="0">
      <selection activeCell="B2" sqref="B2"/>
    </sheetView>
  </sheetViews>
  <sheetFormatPr defaultColWidth="8.85546875" defaultRowHeight="14.45"/>
  <cols>
    <col min="1" max="1" width="8.85546875" style="74" customWidth="1"/>
    <col min="2" max="2" width="51" style="73" customWidth="1"/>
    <col min="3" max="3" width="79.28515625" style="73" customWidth="1"/>
    <col min="4" max="4" width="17.42578125" customWidth="1"/>
    <col min="5" max="5" width="15.28515625" style="74" bestFit="1" customWidth="1"/>
    <col min="6" max="6" width="26.7109375" style="77" customWidth="1"/>
    <col min="7" max="7" width="21.7109375" bestFit="1" customWidth="1"/>
    <col min="8" max="8" width="6.140625" bestFit="1" customWidth="1"/>
  </cols>
  <sheetData>
    <row r="1" spans="1:8" s="1" customFormat="1" ht="30" customHeight="1">
      <c r="A1" s="6" t="s">
        <v>65</v>
      </c>
      <c r="B1" s="7" t="s">
        <v>42</v>
      </c>
      <c r="C1" s="8" t="s">
        <v>66</v>
      </c>
      <c r="D1" s="7" t="s">
        <v>67</v>
      </c>
      <c r="E1" s="6" t="s">
        <v>8</v>
      </c>
      <c r="F1" s="76" t="s">
        <v>68</v>
      </c>
      <c r="G1" s="8" t="s">
        <v>69</v>
      </c>
      <c r="H1" s="8" t="s">
        <v>70</v>
      </c>
    </row>
    <row r="2" spans="1:8" ht="128.44999999999999" customHeight="1">
      <c r="A2" s="74">
        <v>1</v>
      </c>
      <c r="B2" s="72" t="s">
        <v>291</v>
      </c>
      <c r="C2" s="4" t="s">
        <v>292</v>
      </c>
      <c r="D2" s="10" t="s">
        <v>293</v>
      </c>
      <c r="E2" s="66" t="s">
        <v>82</v>
      </c>
      <c r="F2" s="75" t="s">
        <v>294</v>
      </c>
    </row>
    <row r="3" spans="1:8" ht="207.95" customHeight="1">
      <c r="A3" s="74">
        <v>2</v>
      </c>
      <c r="B3" s="72" t="s">
        <v>295</v>
      </c>
      <c r="C3" s="4" t="s">
        <v>296</v>
      </c>
      <c r="D3" s="10" t="s">
        <v>293</v>
      </c>
      <c r="E3" s="60" t="s">
        <v>89</v>
      </c>
      <c r="F3" s="75" t="s">
        <v>297</v>
      </c>
    </row>
    <row r="4" spans="1:8" ht="32.1" customHeight="1">
      <c r="A4" s="74">
        <v>3</v>
      </c>
      <c r="B4" s="72" t="s">
        <v>298</v>
      </c>
      <c r="C4" s="4" t="s">
        <v>299</v>
      </c>
      <c r="D4" s="3"/>
      <c r="E4" s="57" t="s">
        <v>74</v>
      </c>
      <c r="F4" s="75" t="s">
        <v>300</v>
      </c>
    </row>
    <row r="5" spans="1:8" ht="63.95" customHeight="1">
      <c r="A5" s="74">
        <v>4</v>
      </c>
      <c r="B5" s="72" t="s">
        <v>301</v>
      </c>
      <c r="C5" s="4" t="s">
        <v>302</v>
      </c>
      <c r="D5" s="3"/>
      <c r="E5" s="57" t="s">
        <v>74</v>
      </c>
      <c r="F5" s="75" t="s">
        <v>303</v>
      </c>
    </row>
    <row r="6" spans="1:8" ht="88.9" customHeight="1">
      <c r="A6" s="74">
        <v>5</v>
      </c>
      <c r="B6" s="72" t="s">
        <v>304</v>
      </c>
      <c r="C6" s="4" t="s">
        <v>305</v>
      </c>
      <c r="D6" s="3"/>
      <c r="E6" s="57" t="s">
        <v>74</v>
      </c>
      <c r="F6" s="75" t="s">
        <v>306</v>
      </c>
    </row>
    <row r="7" spans="1:8" ht="63.95" customHeight="1">
      <c r="A7" s="74">
        <v>6</v>
      </c>
      <c r="B7" s="72" t="s">
        <v>307</v>
      </c>
      <c r="C7" s="4" t="s">
        <v>308</v>
      </c>
      <c r="D7" s="10" t="s">
        <v>309</v>
      </c>
      <c r="E7" s="57" t="s">
        <v>74</v>
      </c>
      <c r="F7" s="75" t="s">
        <v>310</v>
      </c>
    </row>
    <row r="8" spans="1:8" ht="48" customHeight="1">
      <c r="A8" s="74">
        <v>7</v>
      </c>
      <c r="B8" s="72" t="s">
        <v>311</v>
      </c>
      <c r="C8" s="4" t="s">
        <v>312</v>
      </c>
      <c r="D8" s="3"/>
      <c r="E8" s="1" t="s">
        <v>89</v>
      </c>
      <c r="F8" s="75"/>
    </row>
    <row r="9" spans="1:8" ht="303.95" customHeight="1">
      <c r="A9" s="74">
        <v>8</v>
      </c>
      <c r="B9" s="72" t="s">
        <v>313</v>
      </c>
      <c r="C9" s="4" t="s">
        <v>314</v>
      </c>
      <c r="D9" s="10" t="s">
        <v>315</v>
      </c>
      <c r="E9" s="1" t="s">
        <v>89</v>
      </c>
      <c r="F9" s="75"/>
    </row>
    <row r="10" spans="1:8" ht="63.95" customHeight="1">
      <c r="A10" s="74">
        <v>9</v>
      </c>
      <c r="B10" s="72" t="s">
        <v>316</v>
      </c>
      <c r="C10" s="4" t="s">
        <v>317</v>
      </c>
      <c r="D10" s="3"/>
      <c r="E10" s="1" t="s">
        <v>89</v>
      </c>
      <c r="F10" s="75"/>
    </row>
    <row r="11" spans="1:8" ht="272.10000000000002" customHeight="1">
      <c r="A11" s="74">
        <v>10</v>
      </c>
      <c r="B11" s="72" t="s">
        <v>318</v>
      </c>
      <c r="C11" s="4" t="s">
        <v>319</v>
      </c>
      <c r="D11" s="10" t="s">
        <v>320</v>
      </c>
      <c r="E11" s="1" t="s">
        <v>89</v>
      </c>
      <c r="F11" s="75"/>
    </row>
    <row r="12" spans="1:8" ht="48" customHeight="1">
      <c r="A12" s="74">
        <v>11</v>
      </c>
      <c r="B12" s="72" t="s">
        <v>321</v>
      </c>
      <c r="C12" s="4" t="s">
        <v>322</v>
      </c>
      <c r="D12" s="3"/>
      <c r="E12" s="1" t="s">
        <v>89</v>
      </c>
      <c r="F12" s="75"/>
    </row>
    <row r="13" spans="1:8" ht="128.1" customHeight="1">
      <c r="A13" s="74">
        <v>12</v>
      </c>
      <c r="B13" s="72" t="s">
        <v>323</v>
      </c>
      <c r="C13" s="4" t="s">
        <v>324</v>
      </c>
      <c r="D13" s="3"/>
      <c r="E13" s="1" t="s">
        <v>89</v>
      </c>
      <c r="F13" s="75"/>
    </row>
    <row r="14" spans="1:8" ht="128.1" customHeight="1">
      <c r="A14" s="74">
        <v>13</v>
      </c>
      <c r="B14" s="72" t="s">
        <v>325</v>
      </c>
      <c r="C14" s="4" t="s">
        <v>326</v>
      </c>
      <c r="D14" s="3"/>
      <c r="E14" s="1" t="s">
        <v>89</v>
      </c>
      <c r="F14" s="75"/>
    </row>
    <row r="15" spans="1:8" ht="63.95" customHeight="1">
      <c r="A15" s="74">
        <v>14</v>
      </c>
      <c r="B15" s="72" t="s">
        <v>327</v>
      </c>
      <c r="C15" s="4" t="s">
        <v>328</v>
      </c>
      <c r="D15" s="10" t="s">
        <v>315</v>
      </c>
      <c r="E15" s="1" t="s">
        <v>89</v>
      </c>
      <c r="F15" s="75"/>
    </row>
    <row r="16" spans="1:8" ht="48" customHeight="1">
      <c r="A16" s="74">
        <v>15</v>
      </c>
      <c r="B16" s="72" t="s">
        <v>329</v>
      </c>
      <c r="C16" s="4" t="s">
        <v>330</v>
      </c>
      <c r="D16" s="3"/>
      <c r="E16" s="1" t="s">
        <v>89</v>
      </c>
      <c r="F16" s="75"/>
    </row>
    <row r="17" spans="1:6" ht="63.95" customHeight="1">
      <c r="A17" s="74">
        <v>16</v>
      </c>
      <c r="B17" s="72" t="s">
        <v>331</v>
      </c>
      <c r="C17" s="4" t="s">
        <v>332</v>
      </c>
      <c r="D17" s="3"/>
      <c r="E17" s="1" t="s">
        <v>89</v>
      </c>
      <c r="F17" s="75"/>
    </row>
    <row r="18" spans="1:6" ht="224.1" customHeight="1">
      <c r="A18" s="74">
        <v>17</v>
      </c>
      <c r="B18" s="72" t="s">
        <v>333</v>
      </c>
      <c r="C18" s="4" t="s">
        <v>334</v>
      </c>
      <c r="D18" s="3"/>
      <c r="E18" s="1" t="s">
        <v>74</v>
      </c>
      <c r="F18" s="75"/>
    </row>
    <row r="19" spans="1:6" ht="48" customHeight="1">
      <c r="A19" s="74">
        <v>18</v>
      </c>
      <c r="B19" s="72" t="s">
        <v>335</v>
      </c>
      <c r="C19" s="4" t="s">
        <v>336</v>
      </c>
      <c r="D19" s="3"/>
      <c r="E19" s="1" t="s">
        <v>89</v>
      </c>
      <c r="F19" s="75"/>
    </row>
    <row r="20" spans="1:6" ht="48" customHeight="1">
      <c r="A20" s="74">
        <v>19</v>
      </c>
      <c r="B20" s="72" t="s">
        <v>337</v>
      </c>
      <c r="C20" s="4" t="s">
        <v>338</v>
      </c>
      <c r="D20" s="3"/>
      <c r="E20" s="1" t="s">
        <v>89</v>
      </c>
      <c r="F20" s="75"/>
    </row>
    <row r="21" spans="1:6" ht="63.95" customHeight="1">
      <c r="A21" s="74">
        <v>20</v>
      </c>
      <c r="B21" s="72" t="s">
        <v>339</v>
      </c>
      <c r="C21" s="4" t="s">
        <v>340</v>
      </c>
      <c r="D21" s="3"/>
      <c r="E21" s="1" t="s">
        <v>89</v>
      </c>
      <c r="F21" s="75"/>
    </row>
    <row r="22" spans="1:6" ht="207.95" customHeight="1">
      <c r="A22" s="74">
        <v>21</v>
      </c>
      <c r="B22" s="72" t="s">
        <v>341</v>
      </c>
      <c r="C22" s="4" t="s">
        <v>342</v>
      </c>
      <c r="D22" s="3"/>
      <c r="E22" s="1" t="s">
        <v>89</v>
      </c>
      <c r="F22" s="75"/>
    </row>
    <row r="23" spans="1:6">
      <c r="E23" s="1"/>
      <c r="F23" s="75"/>
    </row>
    <row r="24" spans="1:6">
      <c r="E24" s="1"/>
      <c r="F24" s="75"/>
    </row>
    <row r="25" spans="1:6">
      <c r="E25" s="1"/>
      <c r="F25" s="75"/>
    </row>
    <row r="26" spans="1:6">
      <c r="E26" s="1"/>
      <c r="F26" s="75"/>
    </row>
    <row r="27" spans="1:6">
      <c r="E27" s="1"/>
      <c r="F27" s="75"/>
    </row>
    <row r="28" spans="1:6">
      <c r="E28" s="1"/>
      <c r="F28" s="75"/>
    </row>
    <row r="29" spans="1:6">
      <c r="E29" s="1"/>
      <c r="F29" s="75"/>
    </row>
    <row r="30" spans="1:6">
      <c r="E30" s="1"/>
      <c r="F30" s="75"/>
    </row>
    <row r="31" spans="1:6">
      <c r="E31" s="1"/>
      <c r="F31" s="75"/>
    </row>
    <row r="32" spans="1:6">
      <c r="E32" s="1"/>
      <c r="F32" s="75"/>
    </row>
    <row r="33" spans="5:6">
      <c r="E33" s="1"/>
      <c r="F33" s="75"/>
    </row>
    <row r="34" spans="5:6">
      <c r="E34" s="1"/>
      <c r="F34" s="75"/>
    </row>
    <row r="35" spans="5:6">
      <c r="E35" s="1"/>
      <c r="F35" s="75"/>
    </row>
    <row r="36" spans="5:6">
      <c r="E36" s="1"/>
      <c r="F36" s="75"/>
    </row>
    <row r="37" spans="5:6">
      <c r="E37" s="1"/>
      <c r="F37" s="75"/>
    </row>
    <row r="38" spans="5:6">
      <c r="E38" s="1"/>
      <c r="F38" s="75"/>
    </row>
    <row r="39" spans="5:6">
      <c r="E39" s="1"/>
      <c r="F39" s="75"/>
    </row>
    <row r="40" spans="5:6">
      <c r="E40" s="1"/>
      <c r="F40" s="75"/>
    </row>
    <row r="41" spans="5:6">
      <c r="E41" s="1"/>
      <c r="F41" s="75"/>
    </row>
    <row r="42" spans="5:6">
      <c r="E42" s="1"/>
      <c r="F42" s="75"/>
    </row>
    <row r="43" spans="5:6">
      <c r="E43" s="1"/>
      <c r="F43" s="75"/>
    </row>
    <row r="44" spans="5:6">
      <c r="E44" s="1"/>
      <c r="F44" s="75"/>
    </row>
    <row r="45" spans="5:6">
      <c r="E45" s="1"/>
      <c r="F45" s="75"/>
    </row>
    <row r="46" spans="5:6">
      <c r="E46" s="1"/>
      <c r="F46" s="75"/>
    </row>
  </sheetData>
  <dataValidations count="1">
    <dataValidation type="list" allowBlank="1" showInputMessage="1" showErrorMessage="1" sqref="E2:E45" xr:uid="{C7B801C6-9299-45CB-AFAD-CFD5A3A71B9E}">
      <formula1>"Good, Neutral, Bad"</formula1>
    </dataValidation>
  </dataValidations>
  <hyperlinks>
    <hyperlink ref="D2" r:id="rId1" xr:uid="{00000000-0004-0000-0300-000000000000}"/>
    <hyperlink ref="D3" r:id="rId2" xr:uid="{00000000-0004-0000-0300-000001000000}"/>
    <hyperlink ref="D7" r:id="rId3" xr:uid="{00000000-0004-0000-0300-000002000000}"/>
    <hyperlink ref="D9" r:id="rId4" xr:uid="{00000000-0004-0000-0300-000003000000}"/>
    <hyperlink ref="D11" r:id="rId5" xr:uid="{00000000-0004-0000-0300-000004000000}"/>
    <hyperlink ref="D15" r:id="rId6" xr:uid="{00000000-0004-0000-0300-000005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orkbookViewId="0"/>
  </sheetViews>
  <sheetFormatPr defaultColWidth="8.85546875" defaultRowHeight="14.45"/>
  <sheetData>
    <row r="1" spans="1:5" s="1" customFormat="1" ht="30" customHeight="1">
      <c r="A1" s="6" t="s">
        <v>65</v>
      </c>
      <c r="B1" s="7" t="s">
        <v>42</v>
      </c>
      <c r="C1" s="8" t="s">
        <v>66</v>
      </c>
      <c r="D1" s="7" t="s">
        <v>67</v>
      </c>
      <c r="E1" s="8" t="s">
        <v>343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E9CC299DD55844976E56E6B95FEDA7" ma:contentTypeVersion="16" ma:contentTypeDescription="Create a new document." ma:contentTypeScope="" ma:versionID="48430a8858470be4f3051e69c8da50ca">
  <xsd:schema xmlns:xsd="http://www.w3.org/2001/XMLSchema" xmlns:xs="http://www.w3.org/2001/XMLSchema" xmlns:p="http://schemas.microsoft.com/office/2006/metadata/properties" xmlns:ns2="854b7357-c2d5-40f5-8d7d-92e5ceb00c9b" xmlns:ns3="f87ae5c5-16d7-4f29-b0bc-53f9ea039804" targetNamespace="http://schemas.microsoft.com/office/2006/metadata/properties" ma:root="true" ma:fieldsID="520af48e1cbce1d3da27ea8ef2e37ca8" ns2:_="" ns3:_="">
    <xsd:import namespace="854b7357-c2d5-40f5-8d7d-92e5ceb00c9b"/>
    <xsd:import namespace="f87ae5c5-16d7-4f29-b0bc-53f9ea03980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element ref="ns2:Comme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4b7357-c2d5-40f5-8d7d-92e5ceb00c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dda1511d-2345-4ee6-88e1-d3859e8dbcb1"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Comments" ma:index="22" nillable="true" ma:displayName="Comments" ma:format="Dropdown" ma:internalName="Comment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87ae5c5-16d7-4f29-b0bc-53f9ea03980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54b7357-c2d5-40f5-8d7d-92e5ceb00c9b">
      <Terms xmlns="http://schemas.microsoft.com/office/infopath/2007/PartnerControls"/>
    </lcf76f155ced4ddcb4097134ff3c332f>
    <Comments xmlns="854b7357-c2d5-40f5-8d7d-92e5ceb00c9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4DE525-9312-442A-9B74-A3EFEBDB0BFB}"/>
</file>

<file path=customXml/itemProps2.xml><?xml version="1.0" encoding="utf-8"?>
<ds:datastoreItem xmlns:ds="http://schemas.openxmlformats.org/officeDocument/2006/customXml" ds:itemID="{6B880090-1F08-4FE8-BF66-222A19C45291}"/>
</file>

<file path=customXml/itemProps3.xml><?xml version="1.0" encoding="utf-8"?>
<ds:datastoreItem xmlns:ds="http://schemas.openxmlformats.org/officeDocument/2006/customXml" ds:itemID="{5D7EC744-AAD2-4737-AE81-BF2C8403386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2025-06-06T16:11:51Z</dcterms:created>
  <dcterms:modified xsi:type="dcterms:W3CDTF">2025-10-15T07:55:13Z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0x01010044E9CC299DD55844976E56E6B95FEDA7</vt:lpwstr>
  </property>
  <property fmtid="{D5CDD505-2E9C-101B-9397-08002B2CF9AE}" pid="3" name="MediaServiceImageTags">
    <vt:lpwstr/>
  </property>
</Properties>
</file>